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tables/table5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527"/>
  <workbookPr/>
  <mc:AlternateContent xmlns:mc="http://schemas.openxmlformats.org/markup-compatibility/2006">
    <mc:Choice Requires="x15">
      <x15ac:absPath xmlns:x15ac="http://schemas.microsoft.com/office/spreadsheetml/2010/11/ac" url="C:\Users\jaime\Desktop\proyecto-ecommerce-automation\outputs\"/>
    </mc:Choice>
  </mc:AlternateContent>
  <xr:revisionPtr revIDLastSave="0" documentId="13_ncr:1_{08BF3EBC-3034-4B75-AF03-827DD77991CC}" xr6:coauthVersionLast="47" xr6:coauthVersionMax="47" xr10:uidLastSave="{00000000-0000-0000-0000-000000000000}"/>
  <bookViews>
    <workbookView xWindow="-108" yWindow="-108" windowWidth="23256" windowHeight="12456" activeTab="3" xr2:uid="{00000000-000D-0000-FFFF-FFFF00000000}"/>
  </bookViews>
  <sheets>
    <sheet name="00_Exec_Control_Tower" sheetId="1" r:id="rId1"/>
    <sheet name="01_Catalog_&amp;_Parameters" sheetId="2" r:id="rId2"/>
    <sheet name="02_Demand_Unconstraining" sheetId="3" r:id="rId3"/>
    <sheet name="03_FBA_Nivel1_Transfer" sheetId="4" r:id="rId4"/>
    <sheet name="04_Factory_Nivel2_PO_&amp;_CBM" sheetId="5" r:id="rId5"/>
    <sheet name="05_Fee_Risk_Audit" sheetId="6" r:id="rId6"/>
  </sheets>
  <definedNames>
    <definedName name="Age_Cap">'01_Catalog_&amp;_Parameters'!$B$9</definedName>
    <definedName name="Aggregate_MOQ">'01_Catalog_&amp;_Parameters'!$F$9</definedName>
    <definedName name="AIS_Payback">'01_Catalog_&amp;_Parameters'!$F$8</definedName>
    <definedName name="CBM_20GP">'01_Catalog_&amp;_Parameters'!$B$10</definedName>
    <definedName name="CBM_40HC">'01_Catalog_&amp;_Parameters'!$B$11</definedName>
    <definedName name="DOS_Cap">'01_Catalog_&amp;_Parameters'!$B$12</definedName>
    <definedName name="Fee_Min_Weekly">'01_Catalog_&amp;_Parameters'!$F$6</definedName>
    <definedName name="Fee_Threshold">'01_Catalog_&amp;_Parameters'!$F$5</definedName>
    <definedName name="Gamma_Cannib">'01_Catalog_&amp;_Parameters'!$F$4</definedName>
    <definedName name="Hero_Weekly">'01_Catalog_&amp;_Parameters'!$F$12</definedName>
    <definedName name="Kappa_Cred">'01_Catalog_&amp;_Parameters'!$F$3</definedName>
    <definedName name="L1_Mean">'01_Catalog_&amp;_Parameters'!$B$3</definedName>
    <definedName name="L1_Std">'01_Catalog_&amp;_Parameters'!$B$4</definedName>
    <definedName name="L2_Mean">'01_Catalog_&amp;_Parameters'!$B$5</definedName>
    <definedName name="L2_Std">'01_Catalog_&amp;_Parameters'!$B$6</definedName>
    <definedName name="LCL_Breakeven">'01_Catalog_&amp;_Parameters'!$F$10</definedName>
    <definedName name="Removal_Fee">'01_Catalog_&amp;_Parameters'!$F$7</definedName>
    <definedName name="Review_Days">'01_Catalog_&amp;_Parameters'!$B$8</definedName>
    <definedName name="Shield_Days">'01_Catalog_&amp;_Parameters'!$B$7</definedName>
    <definedName name="Snapshot_Date">'01_Catalog_&amp;_Parameters'!$B$13</definedName>
    <definedName name="TopUp_Reserve">'01_Catalog_&amp;_Parameters'!$F$11</definedName>
  </definedNames>
  <calcPr calcId="191029" forceFullCalc="1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W164" i="6" l="1"/>
  <c r="P164" i="6"/>
  <c r="N164" i="6"/>
  <c r="M164" i="6"/>
  <c r="L164" i="6"/>
  <c r="O164" i="6" s="1"/>
  <c r="K164" i="6"/>
  <c r="W163" i="6"/>
  <c r="P163" i="6"/>
  <c r="N163" i="6"/>
  <c r="M163" i="6"/>
  <c r="L163" i="6"/>
  <c r="O163" i="6" s="1"/>
  <c r="K163" i="6"/>
  <c r="W162" i="6"/>
  <c r="P162" i="6"/>
  <c r="N162" i="6"/>
  <c r="M162" i="6"/>
  <c r="L162" i="6"/>
  <c r="O162" i="6" s="1"/>
  <c r="K162" i="6"/>
  <c r="W161" i="6"/>
  <c r="P161" i="6"/>
  <c r="N161" i="6"/>
  <c r="M161" i="6"/>
  <c r="L161" i="6"/>
  <c r="O161" i="6" s="1"/>
  <c r="K161" i="6"/>
  <c r="W160" i="6"/>
  <c r="P160" i="6"/>
  <c r="N160" i="6"/>
  <c r="M160" i="6"/>
  <c r="L160" i="6"/>
  <c r="O160" i="6" s="1"/>
  <c r="K160" i="6"/>
  <c r="W159" i="6"/>
  <c r="P159" i="6"/>
  <c r="N159" i="6"/>
  <c r="M159" i="6"/>
  <c r="L159" i="6"/>
  <c r="O159" i="6" s="1"/>
  <c r="K159" i="6"/>
  <c r="W158" i="6"/>
  <c r="P158" i="6"/>
  <c r="N158" i="6"/>
  <c r="M158" i="6"/>
  <c r="L158" i="6"/>
  <c r="O158" i="6" s="1"/>
  <c r="K158" i="6"/>
  <c r="W157" i="6"/>
  <c r="P157" i="6"/>
  <c r="N157" i="6"/>
  <c r="M157" i="6"/>
  <c r="L157" i="6"/>
  <c r="O157" i="6" s="1"/>
  <c r="K157" i="6"/>
  <c r="W156" i="6"/>
  <c r="P156" i="6"/>
  <c r="N156" i="6"/>
  <c r="M156" i="6"/>
  <c r="L156" i="6"/>
  <c r="O156" i="6" s="1"/>
  <c r="K156" i="6"/>
  <c r="W155" i="6"/>
  <c r="P155" i="6"/>
  <c r="N155" i="6"/>
  <c r="M155" i="6"/>
  <c r="L155" i="6"/>
  <c r="O155" i="6" s="1"/>
  <c r="K155" i="6"/>
  <c r="W154" i="6"/>
  <c r="P154" i="6"/>
  <c r="N154" i="6"/>
  <c r="M154" i="6"/>
  <c r="L154" i="6"/>
  <c r="O154" i="6" s="1"/>
  <c r="K154" i="6"/>
  <c r="W153" i="6"/>
  <c r="P153" i="6"/>
  <c r="N153" i="6"/>
  <c r="M153" i="6"/>
  <c r="L153" i="6"/>
  <c r="O153" i="6" s="1"/>
  <c r="K153" i="6"/>
  <c r="W152" i="6"/>
  <c r="P152" i="6"/>
  <c r="N152" i="6"/>
  <c r="M152" i="6"/>
  <c r="L152" i="6"/>
  <c r="O152" i="6" s="1"/>
  <c r="K152" i="6"/>
  <c r="W151" i="6"/>
  <c r="P151" i="6"/>
  <c r="N151" i="6"/>
  <c r="M151" i="6"/>
  <c r="L151" i="6"/>
  <c r="O151" i="6" s="1"/>
  <c r="K151" i="6"/>
  <c r="W150" i="6"/>
  <c r="P150" i="6"/>
  <c r="N150" i="6"/>
  <c r="M150" i="6"/>
  <c r="L150" i="6"/>
  <c r="O150" i="6" s="1"/>
  <c r="K150" i="6"/>
  <c r="W149" i="6"/>
  <c r="P149" i="6"/>
  <c r="N149" i="6"/>
  <c r="M149" i="6"/>
  <c r="L149" i="6"/>
  <c r="O149" i="6" s="1"/>
  <c r="K149" i="6"/>
  <c r="W148" i="6"/>
  <c r="P148" i="6"/>
  <c r="N148" i="6"/>
  <c r="M148" i="6"/>
  <c r="L148" i="6"/>
  <c r="O148" i="6" s="1"/>
  <c r="K148" i="6"/>
  <c r="W147" i="6"/>
  <c r="P147" i="6"/>
  <c r="N147" i="6"/>
  <c r="M147" i="6"/>
  <c r="L147" i="6"/>
  <c r="O147" i="6" s="1"/>
  <c r="K147" i="6"/>
  <c r="W146" i="6"/>
  <c r="P146" i="6"/>
  <c r="N146" i="6"/>
  <c r="M146" i="6"/>
  <c r="L146" i="6"/>
  <c r="O146" i="6" s="1"/>
  <c r="K146" i="6"/>
  <c r="W145" i="6"/>
  <c r="P145" i="6"/>
  <c r="N145" i="6"/>
  <c r="M145" i="6"/>
  <c r="L145" i="6"/>
  <c r="O145" i="6" s="1"/>
  <c r="K145" i="6"/>
  <c r="W144" i="6"/>
  <c r="P144" i="6"/>
  <c r="N144" i="6"/>
  <c r="M144" i="6"/>
  <c r="L144" i="6"/>
  <c r="O144" i="6" s="1"/>
  <c r="K144" i="6"/>
  <c r="W143" i="6"/>
  <c r="P143" i="6"/>
  <c r="N143" i="6"/>
  <c r="M143" i="6"/>
  <c r="L143" i="6"/>
  <c r="O143" i="6" s="1"/>
  <c r="K143" i="6"/>
  <c r="W142" i="6"/>
  <c r="P142" i="6"/>
  <c r="N142" i="6"/>
  <c r="M142" i="6"/>
  <c r="L142" i="6"/>
  <c r="O142" i="6" s="1"/>
  <c r="K142" i="6"/>
  <c r="W141" i="6"/>
  <c r="P141" i="6"/>
  <c r="N141" i="6"/>
  <c r="M141" i="6"/>
  <c r="L141" i="6"/>
  <c r="O141" i="6" s="1"/>
  <c r="K141" i="6"/>
  <c r="W140" i="6"/>
  <c r="P140" i="6"/>
  <c r="N140" i="6"/>
  <c r="M140" i="6"/>
  <c r="L140" i="6"/>
  <c r="O140" i="6" s="1"/>
  <c r="K140" i="6"/>
  <c r="W139" i="6"/>
  <c r="P139" i="6"/>
  <c r="N139" i="6"/>
  <c r="M139" i="6"/>
  <c r="L139" i="6"/>
  <c r="O139" i="6" s="1"/>
  <c r="K139" i="6"/>
  <c r="W138" i="6"/>
  <c r="P138" i="6"/>
  <c r="N138" i="6"/>
  <c r="M138" i="6"/>
  <c r="L138" i="6"/>
  <c r="O138" i="6" s="1"/>
  <c r="K138" i="6"/>
  <c r="W137" i="6"/>
  <c r="P137" i="6"/>
  <c r="N137" i="6"/>
  <c r="M137" i="6"/>
  <c r="L137" i="6"/>
  <c r="O137" i="6" s="1"/>
  <c r="K137" i="6"/>
  <c r="W136" i="6"/>
  <c r="P136" i="6"/>
  <c r="N136" i="6"/>
  <c r="M136" i="6"/>
  <c r="L136" i="6"/>
  <c r="O136" i="6" s="1"/>
  <c r="K136" i="6"/>
  <c r="W135" i="6"/>
  <c r="P135" i="6"/>
  <c r="N135" i="6"/>
  <c r="M135" i="6"/>
  <c r="L135" i="6"/>
  <c r="O135" i="6" s="1"/>
  <c r="K135" i="6"/>
  <c r="W134" i="6"/>
  <c r="P134" i="6"/>
  <c r="N134" i="6"/>
  <c r="M134" i="6"/>
  <c r="L134" i="6"/>
  <c r="O134" i="6" s="1"/>
  <c r="K134" i="6"/>
  <c r="W133" i="6"/>
  <c r="P133" i="6"/>
  <c r="N133" i="6"/>
  <c r="M133" i="6"/>
  <c r="L133" i="6"/>
  <c r="O133" i="6" s="1"/>
  <c r="K133" i="6"/>
  <c r="W132" i="6"/>
  <c r="P132" i="6"/>
  <c r="N132" i="6"/>
  <c r="M132" i="6"/>
  <c r="L132" i="6"/>
  <c r="O132" i="6" s="1"/>
  <c r="K132" i="6"/>
  <c r="W131" i="6"/>
  <c r="P131" i="6"/>
  <c r="N131" i="6"/>
  <c r="M131" i="6"/>
  <c r="L131" i="6"/>
  <c r="O131" i="6" s="1"/>
  <c r="K131" i="6"/>
  <c r="W130" i="6"/>
  <c r="P130" i="6"/>
  <c r="N130" i="6"/>
  <c r="M130" i="6"/>
  <c r="L130" i="6"/>
  <c r="O130" i="6" s="1"/>
  <c r="K130" i="6"/>
  <c r="W129" i="6"/>
  <c r="P129" i="6"/>
  <c r="N129" i="6"/>
  <c r="M129" i="6"/>
  <c r="L129" i="6"/>
  <c r="O129" i="6" s="1"/>
  <c r="K129" i="6"/>
  <c r="W128" i="6"/>
  <c r="P128" i="6"/>
  <c r="N128" i="6"/>
  <c r="M128" i="6"/>
  <c r="L128" i="6"/>
  <c r="O128" i="6" s="1"/>
  <c r="K128" i="6"/>
  <c r="W127" i="6"/>
  <c r="P127" i="6"/>
  <c r="N127" i="6"/>
  <c r="M127" i="6"/>
  <c r="L127" i="6"/>
  <c r="O127" i="6" s="1"/>
  <c r="K127" i="6"/>
  <c r="W126" i="6"/>
  <c r="P126" i="6"/>
  <c r="N126" i="6"/>
  <c r="M126" i="6"/>
  <c r="L126" i="6"/>
  <c r="O126" i="6" s="1"/>
  <c r="K126" i="6"/>
  <c r="W125" i="6"/>
  <c r="P125" i="6"/>
  <c r="N125" i="6"/>
  <c r="M125" i="6"/>
  <c r="L125" i="6"/>
  <c r="O125" i="6" s="1"/>
  <c r="K125" i="6"/>
  <c r="W124" i="6"/>
  <c r="P124" i="6"/>
  <c r="N124" i="6"/>
  <c r="M124" i="6"/>
  <c r="L124" i="6"/>
  <c r="O124" i="6" s="1"/>
  <c r="K124" i="6"/>
  <c r="W123" i="6"/>
  <c r="P123" i="6"/>
  <c r="N123" i="6"/>
  <c r="M123" i="6"/>
  <c r="L123" i="6"/>
  <c r="O123" i="6" s="1"/>
  <c r="K123" i="6"/>
  <c r="W122" i="6"/>
  <c r="P122" i="6"/>
  <c r="N122" i="6"/>
  <c r="M122" i="6"/>
  <c r="L122" i="6"/>
  <c r="O122" i="6" s="1"/>
  <c r="K122" i="6"/>
  <c r="W121" i="6"/>
  <c r="P121" i="6"/>
  <c r="N121" i="6"/>
  <c r="M121" i="6"/>
  <c r="L121" i="6"/>
  <c r="O121" i="6" s="1"/>
  <c r="K121" i="6"/>
  <c r="W120" i="6"/>
  <c r="P120" i="6"/>
  <c r="N120" i="6"/>
  <c r="M120" i="6"/>
  <c r="L120" i="6"/>
  <c r="O120" i="6" s="1"/>
  <c r="K120" i="6"/>
  <c r="W119" i="6"/>
  <c r="P119" i="6"/>
  <c r="N119" i="6"/>
  <c r="M119" i="6"/>
  <c r="L119" i="6"/>
  <c r="O119" i="6" s="1"/>
  <c r="K119" i="6"/>
  <c r="W118" i="6"/>
  <c r="P118" i="6"/>
  <c r="N118" i="6"/>
  <c r="M118" i="6"/>
  <c r="L118" i="6"/>
  <c r="O118" i="6" s="1"/>
  <c r="K118" i="6"/>
  <c r="W117" i="6"/>
  <c r="P117" i="6"/>
  <c r="N117" i="6"/>
  <c r="M117" i="6"/>
  <c r="L117" i="6"/>
  <c r="O117" i="6" s="1"/>
  <c r="K117" i="6"/>
  <c r="W116" i="6"/>
  <c r="P116" i="6"/>
  <c r="N116" i="6"/>
  <c r="M116" i="6"/>
  <c r="L116" i="6"/>
  <c r="O116" i="6" s="1"/>
  <c r="K116" i="6"/>
  <c r="W115" i="6"/>
  <c r="P115" i="6"/>
  <c r="N115" i="6"/>
  <c r="M115" i="6"/>
  <c r="L115" i="6"/>
  <c r="K115" i="6"/>
  <c r="W114" i="6"/>
  <c r="P114" i="6"/>
  <c r="N114" i="6"/>
  <c r="M114" i="6"/>
  <c r="L114" i="6"/>
  <c r="O114" i="6" s="1"/>
  <c r="K114" i="6"/>
  <c r="W113" i="6"/>
  <c r="P113" i="6"/>
  <c r="N113" i="6"/>
  <c r="M113" i="6"/>
  <c r="L113" i="6"/>
  <c r="O113" i="6" s="1"/>
  <c r="K113" i="6"/>
  <c r="W112" i="6"/>
  <c r="P112" i="6"/>
  <c r="N112" i="6"/>
  <c r="M112" i="6"/>
  <c r="L112" i="6"/>
  <c r="O112" i="6" s="1"/>
  <c r="K112" i="6"/>
  <c r="W111" i="6"/>
  <c r="P111" i="6"/>
  <c r="N111" i="6"/>
  <c r="M111" i="6"/>
  <c r="L111" i="6"/>
  <c r="O111" i="6" s="1"/>
  <c r="K111" i="6"/>
  <c r="W110" i="6"/>
  <c r="P110" i="6"/>
  <c r="N110" i="6"/>
  <c r="M110" i="6"/>
  <c r="L110" i="6"/>
  <c r="O110" i="6" s="1"/>
  <c r="K110" i="6"/>
  <c r="W109" i="6"/>
  <c r="P109" i="6"/>
  <c r="N109" i="6"/>
  <c r="M109" i="6"/>
  <c r="L109" i="6"/>
  <c r="O109" i="6" s="1"/>
  <c r="K109" i="6"/>
  <c r="W108" i="6"/>
  <c r="P108" i="6"/>
  <c r="N108" i="6"/>
  <c r="M108" i="6"/>
  <c r="L108" i="6"/>
  <c r="O108" i="6" s="1"/>
  <c r="K108" i="6"/>
  <c r="W107" i="6"/>
  <c r="P107" i="6"/>
  <c r="N107" i="6"/>
  <c r="M107" i="6"/>
  <c r="L107" i="6"/>
  <c r="O107" i="6" s="1"/>
  <c r="K107" i="6"/>
  <c r="W106" i="6"/>
  <c r="P106" i="6"/>
  <c r="N106" i="6"/>
  <c r="M106" i="6"/>
  <c r="L106" i="6"/>
  <c r="O106" i="6" s="1"/>
  <c r="K106" i="6"/>
  <c r="W105" i="6"/>
  <c r="P105" i="6"/>
  <c r="N105" i="6"/>
  <c r="M105" i="6"/>
  <c r="L105" i="6"/>
  <c r="O105" i="6" s="1"/>
  <c r="K105" i="6"/>
  <c r="W104" i="6"/>
  <c r="P104" i="6"/>
  <c r="N104" i="6"/>
  <c r="M104" i="6"/>
  <c r="L104" i="6"/>
  <c r="O104" i="6" s="1"/>
  <c r="K104" i="6"/>
  <c r="W103" i="6"/>
  <c r="P103" i="6"/>
  <c r="N103" i="6"/>
  <c r="M103" i="6"/>
  <c r="L103" i="6"/>
  <c r="O103" i="6" s="1"/>
  <c r="K103" i="6"/>
  <c r="W102" i="6"/>
  <c r="P102" i="6"/>
  <c r="N102" i="6"/>
  <c r="M102" i="6"/>
  <c r="L102" i="6"/>
  <c r="O102" i="6" s="1"/>
  <c r="K102" i="6"/>
  <c r="W101" i="6"/>
  <c r="P101" i="6"/>
  <c r="N101" i="6"/>
  <c r="M101" i="6"/>
  <c r="L101" i="6"/>
  <c r="O101" i="6" s="1"/>
  <c r="K101" i="6"/>
  <c r="W100" i="6"/>
  <c r="P100" i="6"/>
  <c r="N100" i="6"/>
  <c r="M100" i="6"/>
  <c r="L100" i="6"/>
  <c r="O100" i="6" s="1"/>
  <c r="K100" i="6"/>
  <c r="W99" i="6"/>
  <c r="P99" i="6"/>
  <c r="N99" i="6"/>
  <c r="M99" i="6"/>
  <c r="L99" i="6"/>
  <c r="O99" i="6" s="1"/>
  <c r="K99" i="6"/>
  <c r="W98" i="6"/>
  <c r="P98" i="6"/>
  <c r="N98" i="6"/>
  <c r="M98" i="6"/>
  <c r="L98" i="6"/>
  <c r="O98" i="6" s="1"/>
  <c r="K98" i="6"/>
  <c r="W97" i="6"/>
  <c r="P97" i="6"/>
  <c r="N97" i="6"/>
  <c r="M97" i="6"/>
  <c r="L97" i="6"/>
  <c r="O97" i="6" s="1"/>
  <c r="K97" i="6"/>
  <c r="W96" i="6"/>
  <c r="P96" i="6"/>
  <c r="N96" i="6"/>
  <c r="M96" i="6"/>
  <c r="L96" i="6"/>
  <c r="O96" i="6" s="1"/>
  <c r="K96" i="6"/>
  <c r="W95" i="6"/>
  <c r="P95" i="6"/>
  <c r="N95" i="6"/>
  <c r="M95" i="6"/>
  <c r="L95" i="6"/>
  <c r="O95" i="6" s="1"/>
  <c r="K95" i="6"/>
  <c r="W94" i="6"/>
  <c r="P94" i="6"/>
  <c r="N94" i="6"/>
  <c r="M94" i="6"/>
  <c r="L94" i="6"/>
  <c r="O94" i="6" s="1"/>
  <c r="K94" i="6"/>
  <c r="W93" i="6"/>
  <c r="P93" i="6"/>
  <c r="N93" i="6"/>
  <c r="M93" i="6"/>
  <c r="L93" i="6"/>
  <c r="O93" i="6" s="1"/>
  <c r="K93" i="6"/>
  <c r="W92" i="6"/>
  <c r="P92" i="6"/>
  <c r="N92" i="6"/>
  <c r="M92" i="6"/>
  <c r="L92" i="6"/>
  <c r="O92" i="6" s="1"/>
  <c r="K92" i="6"/>
  <c r="W91" i="6"/>
  <c r="P91" i="6"/>
  <c r="N91" i="6"/>
  <c r="M91" i="6"/>
  <c r="L91" i="6"/>
  <c r="O91" i="6" s="1"/>
  <c r="K91" i="6"/>
  <c r="W90" i="6"/>
  <c r="P90" i="6"/>
  <c r="N90" i="6"/>
  <c r="M90" i="6"/>
  <c r="L90" i="6"/>
  <c r="O90" i="6" s="1"/>
  <c r="K90" i="6"/>
  <c r="W89" i="6"/>
  <c r="P89" i="6"/>
  <c r="N89" i="6"/>
  <c r="M89" i="6"/>
  <c r="L89" i="6"/>
  <c r="O89" i="6" s="1"/>
  <c r="K89" i="6"/>
  <c r="W88" i="6"/>
  <c r="P88" i="6"/>
  <c r="N88" i="6"/>
  <c r="M88" i="6"/>
  <c r="L88" i="6"/>
  <c r="O88" i="6" s="1"/>
  <c r="K88" i="6"/>
  <c r="W87" i="6"/>
  <c r="P87" i="6"/>
  <c r="N87" i="6"/>
  <c r="M87" i="6"/>
  <c r="L87" i="6"/>
  <c r="O87" i="6" s="1"/>
  <c r="K87" i="6"/>
  <c r="W86" i="6"/>
  <c r="P86" i="6"/>
  <c r="N86" i="6"/>
  <c r="M86" i="6"/>
  <c r="L86" i="6"/>
  <c r="O86" i="6" s="1"/>
  <c r="K86" i="6"/>
  <c r="W85" i="6"/>
  <c r="P85" i="6"/>
  <c r="N85" i="6"/>
  <c r="M85" i="6"/>
  <c r="L85" i="6"/>
  <c r="O85" i="6" s="1"/>
  <c r="K85" i="6"/>
  <c r="W84" i="6"/>
  <c r="P84" i="6"/>
  <c r="N84" i="6"/>
  <c r="M84" i="6"/>
  <c r="L84" i="6"/>
  <c r="O84" i="6" s="1"/>
  <c r="K84" i="6"/>
  <c r="W83" i="6"/>
  <c r="P83" i="6"/>
  <c r="N83" i="6"/>
  <c r="M83" i="6"/>
  <c r="L83" i="6"/>
  <c r="O83" i="6" s="1"/>
  <c r="K83" i="6"/>
  <c r="W82" i="6"/>
  <c r="P82" i="6"/>
  <c r="N82" i="6"/>
  <c r="M82" i="6"/>
  <c r="L82" i="6"/>
  <c r="O82" i="6" s="1"/>
  <c r="K82" i="6"/>
  <c r="W81" i="6"/>
  <c r="P81" i="6"/>
  <c r="N81" i="6"/>
  <c r="M81" i="6"/>
  <c r="L81" i="6"/>
  <c r="O81" i="6" s="1"/>
  <c r="K81" i="6"/>
  <c r="W80" i="6"/>
  <c r="P80" i="6"/>
  <c r="N80" i="6"/>
  <c r="M80" i="6"/>
  <c r="L80" i="6"/>
  <c r="O80" i="6" s="1"/>
  <c r="K80" i="6"/>
  <c r="W79" i="6"/>
  <c r="P79" i="6"/>
  <c r="N79" i="6"/>
  <c r="M79" i="6"/>
  <c r="L79" i="6"/>
  <c r="O79" i="6" s="1"/>
  <c r="K79" i="6"/>
  <c r="W78" i="6"/>
  <c r="P78" i="6"/>
  <c r="N78" i="6"/>
  <c r="M78" i="6"/>
  <c r="L78" i="6"/>
  <c r="O78" i="6" s="1"/>
  <c r="K78" i="6"/>
  <c r="W77" i="6"/>
  <c r="P77" i="6"/>
  <c r="N77" i="6"/>
  <c r="M77" i="6"/>
  <c r="L77" i="6"/>
  <c r="O77" i="6" s="1"/>
  <c r="K77" i="6"/>
  <c r="W76" i="6"/>
  <c r="P76" i="6"/>
  <c r="N76" i="6"/>
  <c r="M76" i="6"/>
  <c r="L76" i="6"/>
  <c r="O76" i="6" s="1"/>
  <c r="K76" i="6"/>
  <c r="W75" i="6"/>
  <c r="P75" i="6"/>
  <c r="N75" i="6"/>
  <c r="M75" i="6"/>
  <c r="L75" i="6"/>
  <c r="O75" i="6" s="1"/>
  <c r="K75" i="6"/>
  <c r="W74" i="6"/>
  <c r="P74" i="6"/>
  <c r="N74" i="6"/>
  <c r="M74" i="6"/>
  <c r="L74" i="6"/>
  <c r="O74" i="6" s="1"/>
  <c r="K74" i="6"/>
  <c r="W73" i="6"/>
  <c r="P73" i="6"/>
  <c r="N73" i="6"/>
  <c r="M73" i="6"/>
  <c r="L73" i="6"/>
  <c r="O73" i="6" s="1"/>
  <c r="K73" i="6"/>
  <c r="W72" i="6"/>
  <c r="P72" i="6"/>
  <c r="N72" i="6"/>
  <c r="M72" i="6"/>
  <c r="L72" i="6"/>
  <c r="O72" i="6" s="1"/>
  <c r="K72" i="6"/>
  <c r="W71" i="6"/>
  <c r="P71" i="6"/>
  <c r="N71" i="6"/>
  <c r="M71" i="6"/>
  <c r="L71" i="6"/>
  <c r="O71" i="6" s="1"/>
  <c r="K71" i="6"/>
  <c r="W70" i="6"/>
  <c r="P70" i="6"/>
  <c r="N70" i="6"/>
  <c r="M70" i="6"/>
  <c r="L70" i="6"/>
  <c r="O70" i="6" s="1"/>
  <c r="K70" i="6"/>
  <c r="W69" i="6"/>
  <c r="P69" i="6"/>
  <c r="N69" i="6"/>
  <c r="M69" i="6"/>
  <c r="L69" i="6"/>
  <c r="O69" i="6" s="1"/>
  <c r="K69" i="6"/>
  <c r="W68" i="6"/>
  <c r="P68" i="6"/>
  <c r="N68" i="6"/>
  <c r="M68" i="6"/>
  <c r="L68" i="6"/>
  <c r="O68" i="6" s="1"/>
  <c r="K68" i="6"/>
  <c r="W67" i="6"/>
  <c r="P67" i="6"/>
  <c r="N67" i="6"/>
  <c r="M67" i="6"/>
  <c r="L67" i="6"/>
  <c r="O67" i="6" s="1"/>
  <c r="K67" i="6"/>
  <c r="W66" i="6"/>
  <c r="P66" i="6"/>
  <c r="N66" i="6"/>
  <c r="M66" i="6"/>
  <c r="L66" i="6"/>
  <c r="O66" i="6" s="1"/>
  <c r="K66" i="6"/>
  <c r="W65" i="6"/>
  <c r="P65" i="6"/>
  <c r="Q65" i="6" s="1"/>
  <c r="N65" i="6"/>
  <c r="M65" i="6"/>
  <c r="L65" i="6"/>
  <c r="O65" i="6" s="1"/>
  <c r="K65" i="6"/>
  <c r="W64" i="6"/>
  <c r="P64" i="6"/>
  <c r="N64" i="6"/>
  <c r="M64" i="6"/>
  <c r="L64" i="6"/>
  <c r="O64" i="6" s="1"/>
  <c r="K64" i="6"/>
  <c r="W63" i="6"/>
  <c r="P63" i="6"/>
  <c r="N63" i="6"/>
  <c r="M63" i="6"/>
  <c r="L63" i="6"/>
  <c r="O63" i="6" s="1"/>
  <c r="K63" i="6"/>
  <c r="W62" i="6"/>
  <c r="P62" i="6"/>
  <c r="N62" i="6"/>
  <c r="M62" i="6"/>
  <c r="L62" i="6"/>
  <c r="O62" i="6" s="1"/>
  <c r="K62" i="6"/>
  <c r="W61" i="6"/>
  <c r="P61" i="6"/>
  <c r="N61" i="6"/>
  <c r="M61" i="6"/>
  <c r="L61" i="6"/>
  <c r="O61" i="6" s="1"/>
  <c r="K61" i="6"/>
  <c r="W60" i="6"/>
  <c r="P60" i="6"/>
  <c r="N60" i="6"/>
  <c r="M60" i="6"/>
  <c r="L60" i="6"/>
  <c r="O60" i="6" s="1"/>
  <c r="K60" i="6"/>
  <c r="W59" i="6"/>
  <c r="P59" i="6"/>
  <c r="N59" i="6"/>
  <c r="M59" i="6"/>
  <c r="L59" i="6"/>
  <c r="O59" i="6" s="1"/>
  <c r="K59" i="6"/>
  <c r="W58" i="6"/>
  <c r="P58" i="6"/>
  <c r="N58" i="6"/>
  <c r="M58" i="6"/>
  <c r="L58" i="6"/>
  <c r="O58" i="6" s="1"/>
  <c r="K58" i="6"/>
  <c r="W57" i="6"/>
  <c r="P57" i="6"/>
  <c r="N57" i="6"/>
  <c r="M57" i="6"/>
  <c r="L57" i="6"/>
  <c r="O57" i="6" s="1"/>
  <c r="K57" i="6"/>
  <c r="W56" i="6"/>
  <c r="P56" i="6"/>
  <c r="N56" i="6"/>
  <c r="M56" i="6"/>
  <c r="L56" i="6"/>
  <c r="O56" i="6" s="1"/>
  <c r="K56" i="6"/>
  <c r="W55" i="6"/>
  <c r="P55" i="6"/>
  <c r="N55" i="6"/>
  <c r="M55" i="6"/>
  <c r="L55" i="6"/>
  <c r="O55" i="6" s="1"/>
  <c r="K55" i="6"/>
  <c r="W54" i="6"/>
  <c r="P54" i="6"/>
  <c r="N54" i="6"/>
  <c r="M54" i="6"/>
  <c r="L54" i="6"/>
  <c r="O54" i="6" s="1"/>
  <c r="K54" i="6"/>
  <c r="W53" i="6"/>
  <c r="P53" i="6"/>
  <c r="N53" i="6"/>
  <c r="M53" i="6"/>
  <c r="L53" i="6"/>
  <c r="O53" i="6" s="1"/>
  <c r="K53" i="6"/>
  <c r="W52" i="6"/>
  <c r="P52" i="6"/>
  <c r="N52" i="6"/>
  <c r="M52" i="6"/>
  <c r="L52" i="6"/>
  <c r="O52" i="6" s="1"/>
  <c r="K52" i="6"/>
  <c r="W51" i="6"/>
  <c r="P51" i="6"/>
  <c r="N51" i="6"/>
  <c r="M51" i="6"/>
  <c r="L51" i="6"/>
  <c r="O51" i="6" s="1"/>
  <c r="K51" i="6"/>
  <c r="W50" i="6"/>
  <c r="P50" i="6"/>
  <c r="N50" i="6"/>
  <c r="M50" i="6"/>
  <c r="L50" i="6"/>
  <c r="O50" i="6" s="1"/>
  <c r="K50" i="6"/>
  <c r="W49" i="6"/>
  <c r="P49" i="6"/>
  <c r="N49" i="6"/>
  <c r="M49" i="6"/>
  <c r="L49" i="6"/>
  <c r="O49" i="6" s="1"/>
  <c r="K49" i="6"/>
  <c r="W48" i="6"/>
  <c r="P48" i="6"/>
  <c r="N48" i="6"/>
  <c r="M48" i="6"/>
  <c r="L48" i="6"/>
  <c r="O48" i="6" s="1"/>
  <c r="K48" i="6"/>
  <c r="W47" i="6"/>
  <c r="P47" i="6"/>
  <c r="N47" i="6"/>
  <c r="M47" i="6"/>
  <c r="L47" i="6"/>
  <c r="O47" i="6" s="1"/>
  <c r="K47" i="6"/>
  <c r="W46" i="6"/>
  <c r="P46" i="6"/>
  <c r="N46" i="6"/>
  <c r="M46" i="6"/>
  <c r="L46" i="6"/>
  <c r="O46" i="6" s="1"/>
  <c r="K46" i="6"/>
  <c r="W45" i="6"/>
  <c r="P45" i="6"/>
  <c r="N45" i="6"/>
  <c r="M45" i="6"/>
  <c r="L45" i="6"/>
  <c r="O45" i="6" s="1"/>
  <c r="K45" i="6"/>
  <c r="W44" i="6"/>
  <c r="P44" i="6"/>
  <c r="N44" i="6"/>
  <c r="M44" i="6"/>
  <c r="L44" i="6"/>
  <c r="O44" i="6" s="1"/>
  <c r="K44" i="6"/>
  <c r="W43" i="6"/>
  <c r="P43" i="6"/>
  <c r="N43" i="6"/>
  <c r="M43" i="6"/>
  <c r="L43" i="6"/>
  <c r="O43" i="6" s="1"/>
  <c r="K43" i="6"/>
  <c r="W42" i="6"/>
  <c r="P42" i="6"/>
  <c r="N42" i="6"/>
  <c r="M42" i="6"/>
  <c r="L42" i="6"/>
  <c r="O42" i="6" s="1"/>
  <c r="K42" i="6"/>
  <c r="W41" i="6"/>
  <c r="P41" i="6"/>
  <c r="N41" i="6"/>
  <c r="M41" i="6"/>
  <c r="L41" i="6"/>
  <c r="O41" i="6" s="1"/>
  <c r="K41" i="6"/>
  <c r="W40" i="6"/>
  <c r="P40" i="6"/>
  <c r="Q40" i="6" s="1"/>
  <c r="N40" i="6"/>
  <c r="M40" i="6"/>
  <c r="L40" i="6"/>
  <c r="O40" i="6" s="1"/>
  <c r="K40" i="6"/>
  <c r="W39" i="6"/>
  <c r="P39" i="6"/>
  <c r="N39" i="6"/>
  <c r="M39" i="6"/>
  <c r="L39" i="6"/>
  <c r="O39" i="6" s="1"/>
  <c r="K39" i="6"/>
  <c r="W38" i="6"/>
  <c r="P38" i="6"/>
  <c r="N38" i="6"/>
  <c r="M38" i="6"/>
  <c r="L38" i="6"/>
  <c r="O38" i="6" s="1"/>
  <c r="K38" i="6"/>
  <c r="W37" i="6"/>
  <c r="P37" i="6"/>
  <c r="N37" i="6"/>
  <c r="M37" i="6"/>
  <c r="L37" i="6"/>
  <c r="O37" i="6" s="1"/>
  <c r="K37" i="6"/>
  <c r="W36" i="6"/>
  <c r="P36" i="6"/>
  <c r="N36" i="6"/>
  <c r="M36" i="6"/>
  <c r="L36" i="6"/>
  <c r="O36" i="6" s="1"/>
  <c r="K36" i="6"/>
  <c r="W35" i="6"/>
  <c r="P35" i="6"/>
  <c r="N35" i="6"/>
  <c r="M35" i="6"/>
  <c r="L35" i="6"/>
  <c r="O35" i="6" s="1"/>
  <c r="K35" i="6"/>
  <c r="W34" i="6"/>
  <c r="P34" i="6"/>
  <c r="N34" i="6"/>
  <c r="M34" i="6"/>
  <c r="L34" i="6"/>
  <c r="O34" i="6" s="1"/>
  <c r="K34" i="6"/>
  <c r="W33" i="6"/>
  <c r="P33" i="6"/>
  <c r="N33" i="6"/>
  <c r="M33" i="6"/>
  <c r="L33" i="6"/>
  <c r="O33" i="6" s="1"/>
  <c r="K33" i="6"/>
  <c r="W32" i="6"/>
  <c r="P32" i="6"/>
  <c r="N32" i="6"/>
  <c r="M32" i="6"/>
  <c r="L32" i="6"/>
  <c r="O32" i="6" s="1"/>
  <c r="K32" i="6"/>
  <c r="W31" i="6"/>
  <c r="P31" i="6"/>
  <c r="N31" i="6"/>
  <c r="M31" i="6"/>
  <c r="L31" i="6"/>
  <c r="O31" i="6" s="1"/>
  <c r="K31" i="6"/>
  <c r="W30" i="6"/>
  <c r="P30" i="6"/>
  <c r="N30" i="6"/>
  <c r="M30" i="6"/>
  <c r="L30" i="6"/>
  <c r="O30" i="6" s="1"/>
  <c r="K30" i="6"/>
  <c r="W29" i="6"/>
  <c r="P29" i="6"/>
  <c r="N29" i="6"/>
  <c r="M29" i="6"/>
  <c r="L29" i="6"/>
  <c r="O29" i="6" s="1"/>
  <c r="K29" i="6"/>
  <c r="W28" i="6"/>
  <c r="P28" i="6"/>
  <c r="N28" i="6"/>
  <c r="M28" i="6"/>
  <c r="L28" i="6"/>
  <c r="O28" i="6" s="1"/>
  <c r="K28" i="6"/>
  <c r="W27" i="6"/>
  <c r="P27" i="6"/>
  <c r="N27" i="6"/>
  <c r="M27" i="6"/>
  <c r="L27" i="6"/>
  <c r="O27" i="6" s="1"/>
  <c r="K27" i="6"/>
  <c r="W26" i="6"/>
  <c r="P26" i="6"/>
  <c r="N26" i="6"/>
  <c r="M26" i="6"/>
  <c r="L26" i="6"/>
  <c r="O26" i="6" s="1"/>
  <c r="K26" i="6"/>
  <c r="W25" i="6"/>
  <c r="P25" i="6"/>
  <c r="N25" i="6"/>
  <c r="M25" i="6"/>
  <c r="L25" i="6"/>
  <c r="O25" i="6" s="1"/>
  <c r="K25" i="6"/>
  <c r="W24" i="6"/>
  <c r="P24" i="6"/>
  <c r="N24" i="6"/>
  <c r="M24" i="6"/>
  <c r="L24" i="6"/>
  <c r="O24" i="6" s="1"/>
  <c r="K24" i="6"/>
  <c r="W23" i="6"/>
  <c r="P23" i="6"/>
  <c r="N23" i="6"/>
  <c r="M23" i="6"/>
  <c r="L23" i="6"/>
  <c r="O23" i="6" s="1"/>
  <c r="K23" i="6"/>
  <c r="W22" i="6"/>
  <c r="P22" i="6"/>
  <c r="N22" i="6"/>
  <c r="M22" i="6"/>
  <c r="L22" i="6"/>
  <c r="O22" i="6" s="1"/>
  <c r="K22" i="6"/>
  <c r="W21" i="6"/>
  <c r="P21" i="6"/>
  <c r="N21" i="6"/>
  <c r="M21" i="6"/>
  <c r="L21" i="6"/>
  <c r="O21" i="6" s="1"/>
  <c r="K21" i="6"/>
  <c r="W20" i="6"/>
  <c r="P20" i="6"/>
  <c r="N20" i="6"/>
  <c r="M20" i="6"/>
  <c r="L20" i="6"/>
  <c r="O20" i="6" s="1"/>
  <c r="K20" i="6"/>
  <c r="W19" i="6"/>
  <c r="P19" i="6"/>
  <c r="N19" i="6"/>
  <c r="M19" i="6"/>
  <c r="L19" i="6"/>
  <c r="O19" i="6" s="1"/>
  <c r="K19" i="6"/>
  <c r="W18" i="6"/>
  <c r="P18" i="6"/>
  <c r="N18" i="6"/>
  <c r="M18" i="6"/>
  <c r="L18" i="6"/>
  <c r="O18" i="6" s="1"/>
  <c r="K18" i="6"/>
  <c r="W17" i="6"/>
  <c r="P17" i="6"/>
  <c r="N17" i="6"/>
  <c r="M17" i="6"/>
  <c r="L17" i="6"/>
  <c r="O17" i="6" s="1"/>
  <c r="K17" i="6"/>
  <c r="W16" i="6"/>
  <c r="P16" i="6"/>
  <c r="N16" i="6"/>
  <c r="M16" i="6"/>
  <c r="L16" i="6"/>
  <c r="O16" i="6" s="1"/>
  <c r="K16" i="6"/>
  <c r="W15" i="6"/>
  <c r="P15" i="6"/>
  <c r="N15" i="6"/>
  <c r="M15" i="6"/>
  <c r="L15" i="6"/>
  <c r="O15" i="6" s="1"/>
  <c r="K15" i="6"/>
  <c r="W14" i="6"/>
  <c r="P14" i="6"/>
  <c r="N14" i="6"/>
  <c r="M14" i="6"/>
  <c r="L14" i="6"/>
  <c r="O14" i="6" s="1"/>
  <c r="K14" i="6"/>
  <c r="W13" i="6"/>
  <c r="P13" i="6"/>
  <c r="N13" i="6"/>
  <c r="M13" i="6"/>
  <c r="L13" i="6"/>
  <c r="O13" i="6" s="1"/>
  <c r="K13" i="6"/>
  <c r="W12" i="6"/>
  <c r="P12" i="6"/>
  <c r="N12" i="6"/>
  <c r="M12" i="6"/>
  <c r="L12" i="6"/>
  <c r="O12" i="6" s="1"/>
  <c r="K12" i="6"/>
  <c r="W11" i="6"/>
  <c r="P11" i="6"/>
  <c r="N11" i="6"/>
  <c r="M11" i="6"/>
  <c r="L11" i="6"/>
  <c r="O11" i="6" s="1"/>
  <c r="K11" i="6"/>
  <c r="W10" i="6"/>
  <c r="P10" i="6"/>
  <c r="N10" i="6"/>
  <c r="M10" i="6"/>
  <c r="L10" i="6"/>
  <c r="O10" i="6" s="1"/>
  <c r="K10" i="6"/>
  <c r="W9" i="6"/>
  <c r="P9" i="6"/>
  <c r="N9" i="6"/>
  <c r="M9" i="6"/>
  <c r="L9" i="6"/>
  <c r="O9" i="6" s="1"/>
  <c r="K9" i="6"/>
  <c r="W8" i="6"/>
  <c r="P8" i="6"/>
  <c r="N8" i="6"/>
  <c r="M8" i="6"/>
  <c r="L8" i="6"/>
  <c r="O8" i="6" s="1"/>
  <c r="K8" i="6"/>
  <c r="W7" i="6"/>
  <c r="P7" i="6"/>
  <c r="N7" i="6"/>
  <c r="M7" i="6"/>
  <c r="L7" i="6"/>
  <c r="O7" i="6" s="1"/>
  <c r="K7" i="6"/>
  <c r="W6" i="6"/>
  <c r="P6" i="6"/>
  <c r="N6" i="6"/>
  <c r="M6" i="6"/>
  <c r="L6" i="6"/>
  <c r="O6" i="6" s="1"/>
  <c r="K6" i="6"/>
  <c r="W5" i="6"/>
  <c r="P5" i="6"/>
  <c r="N5" i="6"/>
  <c r="M5" i="6"/>
  <c r="L5" i="6"/>
  <c r="O5" i="6" s="1"/>
  <c r="K5" i="6"/>
  <c r="T164" i="5"/>
  <c r="U164" i="5" s="1"/>
  <c r="N164" i="5"/>
  <c r="K164" i="5"/>
  <c r="I164" i="5"/>
  <c r="J164" i="5" s="1"/>
  <c r="H164" i="5"/>
  <c r="G164" i="5"/>
  <c r="T163" i="5"/>
  <c r="U163" i="5" s="1"/>
  <c r="N163" i="5"/>
  <c r="K163" i="5"/>
  <c r="I163" i="5"/>
  <c r="H163" i="5"/>
  <c r="G163" i="5"/>
  <c r="T162" i="5"/>
  <c r="U162" i="5" s="1"/>
  <c r="N162" i="5"/>
  <c r="K162" i="5"/>
  <c r="I162" i="5"/>
  <c r="H162" i="5"/>
  <c r="G162" i="5"/>
  <c r="T161" i="5"/>
  <c r="U161" i="5" s="1"/>
  <c r="N161" i="5"/>
  <c r="K161" i="5"/>
  <c r="I161" i="5"/>
  <c r="H161" i="5"/>
  <c r="G161" i="5"/>
  <c r="T160" i="5"/>
  <c r="U160" i="5" s="1"/>
  <c r="N160" i="5"/>
  <c r="K160" i="5"/>
  <c r="I160" i="5"/>
  <c r="J160" i="5" s="1"/>
  <c r="H160" i="5"/>
  <c r="G160" i="5"/>
  <c r="T159" i="5"/>
  <c r="U159" i="5" s="1"/>
  <c r="N159" i="5"/>
  <c r="K159" i="5"/>
  <c r="I159" i="5"/>
  <c r="H159" i="5"/>
  <c r="G159" i="5"/>
  <c r="T158" i="5"/>
  <c r="U158" i="5" s="1"/>
  <c r="N158" i="5"/>
  <c r="K158" i="5"/>
  <c r="I158" i="5"/>
  <c r="J158" i="5" s="1"/>
  <c r="H158" i="5"/>
  <c r="G158" i="5"/>
  <c r="T157" i="5"/>
  <c r="U157" i="5" s="1"/>
  <c r="N157" i="5"/>
  <c r="K157" i="5"/>
  <c r="I157" i="5"/>
  <c r="H157" i="5"/>
  <c r="G157" i="5"/>
  <c r="T156" i="5"/>
  <c r="U156" i="5" s="1"/>
  <c r="N156" i="5"/>
  <c r="K156" i="5"/>
  <c r="I156" i="5"/>
  <c r="H156" i="5"/>
  <c r="G156" i="5"/>
  <c r="T155" i="5"/>
  <c r="U155" i="5" s="1"/>
  <c r="N155" i="5"/>
  <c r="K155" i="5"/>
  <c r="I155" i="5"/>
  <c r="H155" i="5"/>
  <c r="G155" i="5"/>
  <c r="T154" i="5"/>
  <c r="U154" i="5" s="1"/>
  <c r="N154" i="5"/>
  <c r="K154" i="5"/>
  <c r="I154" i="5"/>
  <c r="H154" i="5"/>
  <c r="G154" i="5"/>
  <c r="T153" i="5"/>
  <c r="U153" i="5" s="1"/>
  <c r="N153" i="5"/>
  <c r="K153" i="5"/>
  <c r="I153" i="5"/>
  <c r="J153" i="5" s="1"/>
  <c r="H153" i="5"/>
  <c r="G153" i="5"/>
  <c r="T152" i="5"/>
  <c r="U152" i="5" s="1"/>
  <c r="N152" i="5"/>
  <c r="K152" i="5"/>
  <c r="I152" i="5"/>
  <c r="J152" i="5" s="1"/>
  <c r="H152" i="5"/>
  <c r="G152" i="5"/>
  <c r="T151" i="5"/>
  <c r="U151" i="5" s="1"/>
  <c r="N151" i="5"/>
  <c r="K151" i="5"/>
  <c r="I151" i="5"/>
  <c r="J151" i="5" s="1"/>
  <c r="H151" i="5"/>
  <c r="G151" i="5"/>
  <c r="T150" i="5"/>
  <c r="U150" i="5" s="1"/>
  <c r="N150" i="5"/>
  <c r="K150" i="5"/>
  <c r="I150" i="5"/>
  <c r="J150" i="5" s="1"/>
  <c r="H150" i="5"/>
  <c r="G150" i="5"/>
  <c r="T149" i="5"/>
  <c r="U149" i="5" s="1"/>
  <c r="N149" i="5"/>
  <c r="K149" i="5"/>
  <c r="I149" i="5"/>
  <c r="J149" i="5" s="1"/>
  <c r="H149" i="5"/>
  <c r="G149" i="5"/>
  <c r="T148" i="5"/>
  <c r="U148" i="5" s="1"/>
  <c r="N148" i="5"/>
  <c r="K148" i="5"/>
  <c r="I148" i="5"/>
  <c r="H148" i="5"/>
  <c r="G148" i="5"/>
  <c r="T147" i="5"/>
  <c r="U147" i="5" s="1"/>
  <c r="N147" i="5"/>
  <c r="K147" i="5"/>
  <c r="I147" i="5"/>
  <c r="H147" i="5"/>
  <c r="G147" i="5"/>
  <c r="T146" i="5"/>
  <c r="U146" i="5" s="1"/>
  <c r="N146" i="5"/>
  <c r="K146" i="5"/>
  <c r="I146" i="5"/>
  <c r="H146" i="5"/>
  <c r="G146" i="5"/>
  <c r="T145" i="5"/>
  <c r="U145" i="5" s="1"/>
  <c r="N145" i="5"/>
  <c r="K145" i="5"/>
  <c r="I145" i="5"/>
  <c r="H145" i="5"/>
  <c r="G145" i="5"/>
  <c r="T144" i="5"/>
  <c r="U144" i="5" s="1"/>
  <c r="N144" i="5"/>
  <c r="K144" i="5"/>
  <c r="I144" i="5"/>
  <c r="H144" i="5"/>
  <c r="G144" i="5"/>
  <c r="T143" i="5"/>
  <c r="U143" i="5" s="1"/>
  <c r="N143" i="5"/>
  <c r="K143" i="5"/>
  <c r="I143" i="5"/>
  <c r="H143" i="5"/>
  <c r="G143" i="5"/>
  <c r="T142" i="5"/>
  <c r="U142" i="5" s="1"/>
  <c r="N142" i="5"/>
  <c r="K142" i="5"/>
  <c r="I142" i="5"/>
  <c r="H142" i="5"/>
  <c r="G142" i="5"/>
  <c r="T141" i="5"/>
  <c r="U141" i="5" s="1"/>
  <c r="N141" i="5"/>
  <c r="K141" i="5"/>
  <c r="I141" i="5"/>
  <c r="H141" i="5"/>
  <c r="G141" i="5"/>
  <c r="T140" i="5"/>
  <c r="U140" i="5" s="1"/>
  <c r="N140" i="5"/>
  <c r="K140" i="5"/>
  <c r="I140" i="5"/>
  <c r="H140" i="5"/>
  <c r="G140" i="5"/>
  <c r="T139" i="5"/>
  <c r="U139" i="5" s="1"/>
  <c r="N139" i="5"/>
  <c r="K139" i="5"/>
  <c r="I139" i="5"/>
  <c r="H139" i="5"/>
  <c r="G139" i="5"/>
  <c r="T138" i="5"/>
  <c r="U138" i="5" s="1"/>
  <c r="N138" i="5"/>
  <c r="K138" i="5"/>
  <c r="I138" i="5"/>
  <c r="H138" i="5"/>
  <c r="G138" i="5"/>
  <c r="T137" i="5"/>
  <c r="U137" i="5" s="1"/>
  <c r="N137" i="5"/>
  <c r="K137" i="5"/>
  <c r="I137" i="5"/>
  <c r="J137" i="5" s="1"/>
  <c r="H137" i="5"/>
  <c r="G137" i="5"/>
  <c r="T136" i="5"/>
  <c r="U136" i="5" s="1"/>
  <c r="N136" i="5"/>
  <c r="K136" i="5"/>
  <c r="I136" i="5"/>
  <c r="J136" i="5" s="1"/>
  <c r="H136" i="5"/>
  <c r="G136" i="5"/>
  <c r="T135" i="5"/>
  <c r="U135" i="5" s="1"/>
  <c r="N135" i="5"/>
  <c r="K135" i="5"/>
  <c r="I135" i="5"/>
  <c r="J135" i="5" s="1"/>
  <c r="H135" i="5"/>
  <c r="G135" i="5"/>
  <c r="T134" i="5"/>
  <c r="U134" i="5" s="1"/>
  <c r="N134" i="5"/>
  <c r="K134" i="5"/>
  <c r="I134" i="5"/>
  <c r="J134" i="5" s="1"/>
  <c r="H134" i="5"/>
  <c r="G134" i="5"/>
  <c r="T133" i="5"/>
  <c r="U133" i="5" s="1"/>
  <c r="N133" i="5"/>
  <c r="K133" i="5"/>
  <c r="I133" i="5"/>
  <c r="J133" i="5" s="1"/>
  <c r="H133" i="5"/>
  <c r="G133" i="5"/>
  <c r="T132" i="5"/>
  <c r="U132" i="5" s="1"/>
  <c r="N132" i="5"/>
  <c r="K132" i="5"/>
  <c r="I132" i="5"/>
  <c r="J132" i="5" s="1"/>
  <c r="H132" i="5"/>
  <c r="G132" i="5"/>
  <c r="T131" i="5"/>
  <c r="U131" i="5" s="1"/>
  <c r="N131" i="5"/>
  <c r="K131" i="5"/>
  <c r="I131" i="5"/>
  <c r="J131" i="5" s="1"/>
  <c r="H131" i="5"/>
  <c r="G131" i="5"/>
  <c r="T130" i="5"/>
  <c r="U130" i="5" s="1"/>
  <c r="N130" i="5"/>
  <c r="K130" i="5"/>
  <c r="I130" i="5"/>
  <c r="J130" i="5" s="1"/>
  <c r="H130" i="5"/>
  <c r="G130" i="5"/>
  <c r="T129" i="5"/>
  <c r="U129" i="5" s="1"/>
  <c r="N129" i="5"/>
  <c r="K129" i="5"/>
  <c r="I129" i="5"/>
  <c r="J129" i="5" s="1"/>
  <c r="H129" i="5"/>
  <c r="G129" i="5"/>
  <c r="T128" i="5"/>
  <c r="U128" i="5" s="1"/>
  <c r="N128" i="5"/>
  <c r="K128" i="5"/>
  <c r="I128" i="5"/>
  <c r="J128" i="5" s="1"/>
  <c r="H128" i="5"/>
  <c r="G128" i="5"/>
  <c r="T127" i="5"/>
  <c r="U127" i="5" s="1"/>
  <c r="N127" i="5"/>
  <c r="K127" i="5"/>
  <c r="I127" i="5"/>
  <c r="J127" i="5" s="1"/>
  <c r="H127" i="5"/>
  <c r="G127" i="5"/>
  <c r="T126" i="5"/>
  <c r="U126" i="5" s="1"/>
  <c r="N126" i="5"/>
  <c r="K126" i="5"/>
  <c r="I126" i="5"/>
  <c r="J126" i="5" s="1"/>
  <c r="H126" i="5"/>
  <c r="G126" i="5"/>
  <c r="T125" i="5"/>
  <c r="U125" i="5" s="1"/>
  <c r="N125" i="5"/>
  <c r="K125" i="5"/>
  <c r="I125" i="5"/>
  <c r="J125" i="5" s="1"/>
  <c r="H125" i="5"/>
  <c r="G125" i="5"/>
  <c r="T124" i="5"/>
  <c r="U124" i="5" s="1"/>
  <c r="N124" i="5"/>
  <c r="K124" i="5"/>
  <c r="I124" i="5"/>
  <c r="J124" i="5" s="1"/>
  <c r="H124" i="5"/>
  <c r="G124" i="5"/>
  <c r="T123" i="5"/>
  <c r="U123" i="5" s="1"/>
  <c r="N123" i="5"/>
  <c r="K123" i="5"/>
  <c r="I123" i="5"/>
  <c r="J123" i="5" s="1"/>
  <c r="H123" i="5"/>
  <c r="G123" i="5"/>
  <c r="T122" i="5"/>
  <c r="U122" i="5" s="1"/>
  <c r="N122" i="5"/>
  <c r="K122" i="5"/>
  <c r="I122" i="5"/>
  <c r="J122" i="5" s="1"/>
  <c r="H122" i="5"/>
  <c r="G122" i="5"/>
  <c r="T121" i="5"/>
  <c r="U121" i="5" s="1"/>
  <c r="N121" i="5"/>
  <c r="K121" i="5"/>
  <c r="I121" i="5"/>
  <c r="J121" i="5" s="1"/>
  <c r="H121" i="5"/>
  <c r="G121" i="5"/>
  <c r="T120" i="5"/>
  <c r="U120" i="5" s="1"/>
  <c r="N120" i="5"/>
  <c r="K120" i="5"/>
  <c r="I120" i="5"/>
  <c r="J120" i="5" s="1"/>
  <c r="H120" i="5"/>
  <c r="G120" i="5"/>
  <c r="T119" i="5"/>
  <c r="U119" i="5" s="1"/>
  <c r="N119" i="5"/>
  <c r="K119" i="5"/>
  <c r="I119" i="5"/>
  <c r="J119" i="5" s="1"/>
  <c r="H119" i="5"/>
  <c r="G119" i="5"/>
  <c r="T118" i="5"/>
  <c r="U118" i="5" s="1"/>
  <c r="N118" i="5"/>
  <c r="K118" i="5"/>
  <c r="I118" i="5"/>
  <c r="J118" i="5" s="1"/>
  <c r="H118" i="5"/>
  <c r="G118" i="5"/>
  <c r="T117" i="5"/>
  <c r="U117" i="5" s="1"/>
  <c r="N117" i="5"/>
  <c r="K117" i="5"/>
  <c r="I117" i="5"/>
  <c r="J117" i="5" s="1"/>
  <c r="H117" i="5"/>
  <c r="G117" i="5"/>
  <c r="T116" i="5"/>
  <c r="U116" i="5" s="1"/>
  <c r="N116" i="5"/>
  <c r="K116" i="5"/>
  <c r="I116" i="5"/>
  <c r="J116" i="5" s="1"/>
  <c r="H116" i="5"/>
  <c r="G116" i="5"/>
  <c r="T115" i="5"/>
  <c r="U115" i="5" s="1"/>
  <c r="N115" i="5"/>
  <c r="K115" i="5"/>
  <c r="I115" i="5"/>
  <c r="J115" i="5" s="1"/>
  <c r="H115" i="5"/>
  <c r="G115" i="5"/>
  <c r="T114" i="5"/>
  <c r="U114" i="5" s="1"/>
  <c r="N114" i="5"/>
  <c r="K114" i="5"/>
  <c r="I114" i="5"/>
  <c r="J114" i="5" s="1"/>
  <c r="H114" i="5"/>
  <c r="G114" i="5"/>
  <c r="T113" i="5"/>
  <c r="U113" i="5" s="1"/>
  <c r="N113" i="5"/>
  <c r="K113" i="5"/>
  <c r="I113" i="5"/>
  <c r="J113" i="5" s="1"/>
  <c r="H113" i="5"/>
  <c r="G113" i="5"/>
  <c r="T112" i="5"/>
  <c r="U112" i="5" s="1"/>
  <c r="N112" i="5"/>
  <c r="K112" i="5"/>
  <c r="I112" i="5"/>
  <c r="J112" i="5" s="1"/>
  <c r="H112" i="5"/>
  <c r="G112" i="5"/>
  <c r="T111" i="5"/>
  <c r="U111" i="5" s="1"/>
  <c r="N111" i="5"/>
  <c r="K111" i="5"/>
  <c r="I111" i="5"/>
  <c r="J111" i="5" s="1"/>
  <c r="H111" i="5"/>
  <c r="G111" i="5"/>
  <c r="T110" i="5"/>
  <c r="U110" i="5" s="1"/>
  <c r="N110" i="5"/>
  <c r="K110" i="5"/>
  <c r="I110" i="5"/>
  <c r="J110" i="5" s="1"/>
  <c r="H110" i="5"/>
  <c r="G110" i="5"/>
  <c r="T109" i="5"/>
  <c r="U109" i="5" s="1"/>
  <c r="N109" i="5"/>
  <c r="K109" i="5"/>
  <c r="I109" i="5"/>
  <c r="J109" i="5" s="1"/>
  <c r="H109" i="5"/>
  <c r="G109" i="5"/>
  <c r="T108" i="5"/>
  <c r="U108" i="5" s="1"/>
  <c r="N108" i="5"/>
  <c r="K108" i="5"/>
  <c r="I108" i="5"/>
  <c r="J108" i="5" s="1"/>
  <c r="H108" i="5"/>
  <c r="G108" i="5"/>
  <c r="T107" i="5"/>
  <c r="U107" i="5" s="1"/>
  <c r="N107" i="5"/>
  <c r="K107" i="5"/>
  <c r="I107" i="5"/>
  <c r="J107" i="5" s="1"/>
  <c r="H107" i="5"/>
  <c r="G107" i="5"/>
  <c r="T106" i="5"/>
  <c r="U106" i="5" s="1"/>
  <c r="N106" i="5"/>
  <c r="K106" i="5"/>
  <c r="I106" i="5"/>
  <c r="J106" i="5" s="1"/>
  <c r="H106" i="5"/>
  <c r="G106" i="5"/>
  <c r="T105" i="5"/>
  <c r="U105" i="5" s="1"/>
  <c r="N105" i="5"/>
  <c r="K105" i="5"/>
  <c r="I105" i="5"/>
  <c r="J105" i="5" s="1"/>
  <c r="H105" i="5"/>
  <c r="G105" i="5"/>
  <c r="T104" i="5"/>
  <c r="U104" i="5" s="1"/>
  <c r="N104" i="5"/>
  <c r="K104" i="5"/>
  <c r="I104" i="5"/>
  <c r="J104" i="5" s="1"/>
  <c r="H104" i="5"/>
  <c r="G104" i="5"/>
  <c r="T103" i="5"/>
  <c r="U103" i="5" s="1"/>
  <c r="N103" i="5"/>
  <c r="K103" i="5"/>
  <c r="I103" i="5"/>
  <c r="J103" i="5" s="1"/>
  <c r="H103" i="5"/>
  <c r="G103" i="5"/>
  <c r="T102" i="5"/>
  <c r="U102" i="5" s="1"/>
  <c r="N102" i="5"/>
  <c r="K102" i="5"/>
  <c r="I102" i="5"/>
  <c r="J102" i="5" s="1"/>
  <c r="H102" i="5"/>
  <c r="G102" i="5"/>
  <c r="T101" i="5"/>
  <c r="U101" i="5" s="1"/>
  <c r="N101" i="5"/>
  <c r="K101" i="5"/>
  <c r="I101" i="5"/>
  <c r="J101" i="5" s="1"/>
  <c r="H101" i="5"/>
  <c r="G101" i="5"/>
  <c r="T100" i="5"/>
  <c r="U100" i="5" s="1"/>
  <c r="N100" i="5"/>
  <c r="K100" i="5"/>
  <c r="I100" i="5"/>
  <c r="J100" i="5" s="1"/>
  <c r="H100" i="5"/>
  <c r="G100" i="5"/>
  <c r="T99" i="5"/>
  <c r="U99" i="5" s="1"/>
  <c r="N99" i="5"/>
  <c r="K99" i="5"/>
  <c r="I99" i="5"/>
  <c r="J99" i="5" s="1"/>
  <c r="H99" i="5"/>
  <c r="G99" i="5"/>
  <c r="T98" i="5"/>
  <c r="U98" i="5" s="1"/>
  <c r="N98" i="5"/>
  <c r="K98" i="5"/>
  <c r="I98" i="5"/>
  <c r="J98" i="5" s="1"/>
  <c r="H98" i="5"/>
  <c r="G98" i="5"/>
  <c r="T97" i="5"/>
  <c r="U97" i="5" s="1"/>
  <c r="N97" i="5"/>
  <c r="K97" i="5"/>
  <c r="I97" i="5"/>
  <c r="J97" i="5" s="1"/>
  <c r="H97" i="5"/>
  <c r="G97" i="5"/>
  <c r="T96" i="5"/>
  <c r="U96" i="5" s="1"/>
  <c r="N96" i="5"/>
  <c r="K96" i="5"/>
  <c r="I96" i="5"/>
  <c r="H96" i="5"/>
  <c r="G96" i="5"/>
  <c r="T95" i="5"/>
  <c r="U95" i="5" s="1"/>
  <c r="N95" i="5"/>
  <c r="K95" i="5"/>
  <c r="I95" i="5"/>
  <c r="H95" i="5"/>
  <c r="G95" i="5"/>
  <c r="T94" i="5"/>
  <c r="U94" i="5" s="1"/>
  <c r="N94" i="5"/>
  <c r="K94" i="5"/>
  <c r="I94" i="5"/>
  <c r="H94" i="5"/>
  <c r="G94" i="5"/>
  <c r="T93" i="5"/>
  <c r="U93" i="5" s="1"/>
  <c r="N93" i="5"/>
  <c r="K93" i="5"/>
  <c r="I93" i="5"/>
  <c r="H93" i="5"/>
  <c r="G93" i="5"/>
  <c r="T92" i="5"/>
  <c r="U92" i="5" s="1"/>
  <c r="N92" i="5"/>
  <c r="K92" i="5"/>
  <c r="I92" i="5"/>
  <c r="H92" i="5"/>
  <c r="G92" i="5"/>
  <c r="T91" i="5"/>
  <c r="U91" i="5" s="1"/>
  <c r="N91" i="5"/>
  <c r="K91" i="5"/>
  <c r="I91" i="5"/>
  <c r="H91" i="5"/>
  <c r="G91" i="5"/>
  <c r="T90" i="5"/>
  <c r="U90" i="5" s="1"/>
  <c r="N90" i="5"/>
  <c r="K90" i="5"/>
  <c r="I90" i="5"/>
  <c r="H90" i="5"/>
  <c r="G90" i="5"/>
  <c r="T89" i="5"/>
  <c r="U89" i="5" s="1"/>
  <c r="N89" i="5"/>
  <c r="K89" i="5"/>
  <c r="I89" i="5"/>
  <c r="H89" i="5"/>
  <c r="G89" i="5"/>
  <c r="T88" i="5"/>
  <c r="U88" i="5" s="1"/>
  <c r="N88" i="5"/>
  <c r="K88" i="5"/>
  <c r="I88" i="5"/>
  <c r="H88" i="5"/>
  <c r="G88" i="5"/>
  <c r="T87" i="5"/>
  <c r="U87" i="5" s="1"/>
  <c r="N87" i="5"/>
  <c r="K87" i="5"/>
  <c r="I87" i="5"/>
  <c r="H87" i="5"/>
  <c r="G87" i="5"/>
  <c r="T86" i="5"/>
  <c r="U86" i="5" s="1"/>
  <c r="N86" i="5"/>
  <c r="K86" i="5"/>
  <c r="I86" i="5"/>
  <c r="H86" i="5"/>
  <c r="G86" i="5"/>
  <c r="T85" i="5"/>
  <c r="U85" i="5" s="1"/>
  <c r="N85" i="5"/>
  <c r="K85" i="5"/>
  <c r="I85" i="5"/>
  <c r="H85" i="5"/>
  <c r="G85" i="5"/>
  <c r="T84" i="5"/>
  <c r="U84" i="5" s="1"/>
  <c r="N84" i="5"/>
  <c r="K84" i="5"/>
  <c r="I84" i="5"/>
  <c r="H84" i="5"/>
  <c r="G84" i="5"/>
  <c r="T83" i="5"/>
  <c r="U83" i="5" s="1"/>
  <c r="N83" i="5"/>
  <c r="K83" i="5"/>
  <c r="I83" i="5"/>
  <c r="H83" i="5"/>
  <c r="G83" i="5"/>
  <c r="T82" i="5"/>
  <c r="U82" i="5" s="1"/>
  <c r="N82" i="5"/>
  <c r="K82" i="5"/>
  <c r="I82" i="5"/>
  <c r="H82" i="5"/>
  <c r="G82" i="5"/>
  <c r="T81" i="5"/>
  <c r="U81" i="5" s="1"/>
  <c r="N81" i="5"/>
  <c r="K81" i="5"/>
  <c r="I81" i="5"/>
  <c r="H81" i="5"/>
  <c r="G81" i="5"/>
  <c r="T80" i="5"/>
  <c r="U80" i="5" s="1"/>
  <c r="N80" i="5"/>
  <c r="K80" i="5"/>
  <c r="I80" i="5"/>
  <c r="H80" i="5"/>
  <c r="G80" i="5"/>
  <c r="T79" i="5"/>
  <c r="U79" i="5" s="1"/>
  <c r="N79" i="5"/>
  <c r="K79" i="5"/>
  <c r="I79" i="5"/>
  <c r="H79" i="5"/>
  <c r="G79" i="5"/>
  <c r="T78" i="5"/>
  <c r="U78" i="5" s="1"/>
  <c r="N78" i="5"/>
  <c r="K78" i="5"/>
  <c r="I78" i="5"/>
  <c r="H78" i="5"/>
  <c r="G78" i="5"/>
  <c r="T77" i="5"/>
  <c r="U77" i="5" s="1"/>
  <c r="N77" i="5"/>
  <c r="K77" i="5"/>
  <c r="I77" i="5"/>
  <c r="H77" i="5"/>
  <c r="G77" i="5"/>
  <c r="T76" i="5"/>
  <c r="U76" i="5" s="1"/>
  <c r="N76" i="5"/>
  <c r="K76" i="5"/>
  <c r="I76" i="5"/>
  <c r="H76" i="5"/>
  <c r="G76" i="5"/>
  <c r="T75" i="5"/>
  <c r="U75" i="5" s="1"/>
  <c r="N75" i="5"/>
  <c r="K75" i="5"/>
  <c r="I75" i="5"/>
  <c r="H75" i="5"/>
  <c r="G75" i="5"/>
  <c r="T74" i="5"/>
  <c r="U74" i="5" s="1"/>
  <c r="N74" i="5"/>
  <c r="K74" i="5"/>
  <c r="I74" i="5"/>
  <c r="H74" i="5"/>
  <c r="G74" i="5"/>
  <c r="T73" i="5"/>
  <c r="U73" i="5" s="1"/>
  <c r="N73" i="5"/>
  <c r="K73" i="5"/>
  <c r="I73" i="5"/>
  <c r="H73" i="5"/>
  <c r="G73" i="5"/>
  <c r="T72" i="5"/>
  <c r="U72" i="5" s="1"/>
  <c r="N72" i="5"/>
  <c r="K72" i="5"/>
  <c r="I72" i="5"/>
  <c r="H72" i="5"/>
  <c r="G72" i="5"/>
  <c r="T71" i="5"/>
  <c r="U71" i="5" s="1"/>
  <c r="N71" i="5"/>
  <c r="K71" i="5"/>
  <c r="I71" i="5"/>
  <c r="J71" i="5" s="1"/>
  <c r="H71" i="5"/>
  <c r="G71" i="5"/>
  <c r="T70" i="5"/>
  <c r="U70" i="5" s="1"/>
  <c r="N70" i="5"/>
  <c r="K70" i="5"/>
  <c r="I70" i="5"/>
  <c r="J70" i="5" s="1"/>
  <c r="H70" i="5"/>
  <c r="G70" i="5"/>
  <c r="T69" i="5"/>
  <c r="U69" i="5" s="1"/>
  <c r="N69" i="5"/>
  <c r="K69" i="5"/>
  <c r="I69" i="5"/>
  <c r="J69" i="5" s="1"/>
  <c r="H69" i="5"/>
  <c r="G69" i="5"/>
  <c r="T68" i="5"/>
  <c r="U68" i="5" s="1"/>
  <c r="N68" i="5"/>
  <c r="K68" i="5"/>
  <c r="I68" i="5"/>
  <c r="J68" i="5" s="1"/>
  <c r="H68" i="5"/>
  <c r="G68" i="5"/>
  <c r="T67" i="5"/>
  <c r="U67" i="5" s="1"/>
  <c r="N67" i="5"/>
  <c r="K67" i="5"/>
  <c r="I67" i="5"/>
  <c r="J67" i="5" s="1"/>
  <c r="H67" i="5"/>
  <c r="G67" i="5"/>
  <c r="T66" i="5"/>
  <c r="U66" i="5" s="1"/>
  <c r="N66" i="5"/>
  <c r="K66" i="5"/>
  <c r="I66" i="5"/>
  <c r="J66" i="5" s="1"/>
  <c r="H66" i="5"/>
  <c r="G66" i="5"/>
  <c r="T65" i="5"/>
  <c r="U65" i="5" s="1"/>
  <c r="N65" i="5"/>
  <c r="K65" i="5"/>
  <c r="I65" i="5"/>
  <c r="J65" i="5" s="1"/>
  <c r="H65" i="5"/>
  <c r="G65" i="5"/>
  <c r="T64" i="5"/>
  <c r="U64" i="5" s="1"/>
  <c r="N64" i="5"/>
  <c r="K64" i="5"/>
  <c r="I64" i="5"/>
  <c r="J64" i="5" s="1"/>
  <c r="H64" i="5"/>
  <c r="G64" i="5"/>
  <c r="T63" i="5"/>
  <c r="U63" i="5" s="1"/>
  <c r="N63" i="5"/>
  <c r="K63" i="5"/>
  <c r="I63" i="5"/>
  <c r="J63" i="5" s="1"/>
  <c r="H63" i="5"/>
  <c r="G63" i="5"/>
  <c r="T62" i="5"/>
  <c r="U62" i="5" s="1"/>
  <c r="N62" i="5"/>
  <c r="K62" i="5"/>
  <c r="I62" i="5"/>
  <c r="J62" i="5" s="1"/>
  <c r="H62" i="5"/>
  <c r="G62" i="5"/>
  <c r="T61" i="5"/>
  <c r="U61" i="5" s="1"/>
  <c r="N61" i="5"/>
  <c r="K61" i="5"/>
  <c r="I61" i="5"/>
  <c r="J61" i="5" s="1"/>
  <c r="H61" i="5"/>
  <c r="G61" i="5"/>
  <c r="T60" i="5"/>
  <c r="U60" i="5" s="1"/>
  <c r="N60" i="5"/>
  <c r="K60" i="5"/>
  <c r="I60" i="5"/>
  <c r="J60" i="5" s="1"/>
  <c r="H60" i="5"/>
  <c r="G60" i="5"/>
  <c r="T59" i="5"/>
  <c r="U59" i="5" s="1"/>
  <c r="N59" i="5"/>
  <c r="K59" i="5"/>
  <c r="I59" i="5"/>
  <c r="J59" i="5" s="1"/>
  <c r="H59" i="5"/>
  <c r="G59" i="5"/>
  <c r="T58" i="5"/>
  <c r="U58" i="5" s="1"/>
  <c r="N58" i="5"/>
  <c r="K58" i="5"/>
  <c r="I58" i="5"/>
  <c r="J58" i="5" s="1"/>
  <c r="H58" i="5"/>
  <c r="G58" i="5"/>
  <c r="T57" i="5"/>
  <c r="U57" i="5" s="1"/>
  <c r="N57" i="5"/>
  <c r="K57" i="5"/>
  <c r="I57" i="5"/>
  <c r="J57" i="5" s="1"/>
  <c r="H57" i="5"/>
  <c r="G57" i="5"/>
  <c r="T56" i="5"/>
  <c r="U56" i="5" s="1"/>
  <c r="N56" i="5"/>
  <c r="K56" i="5"/>
  <c r="I56" i="5"/>
  <c r="J56" i="5" s="1"/>
  <c r="H56" i="5"/>
  <c r="G56" i="5"/>
  <c r="T55" i="5"/>
  <c r="U55" i="5" s="1"/>
  <c r="N55" i="5"/>
  <c r="K55" i="5"/>
  <c r="I55" i="5"/>
  <c r="J55" i="5" s="1"/>
  <c r="H55" i="5"/>
  <c r="G55" i="5"/>
  <c r="T54" i="5"/>
  <c r="U54" i="5" s="1"/>
  <c r="N54" i="5"/>
  <c r="K54" i="5"/>
  <c r="I54" i="5"/>
  <c r="J54" i="5" s="1"/>
  <c r="H54" i="5"/>
  <c r="G54" i="5"/>
  <c r="T53" i="5"/>
  <c r="U53" i="5" s="1"/>
  <c r="N53" i="5"/>
  <c r="K53" i="5"/>
  <c r="I53" i="5"/>
  <c r="J53" i="5" s="1"/>
  <c r="H53" i="5"/>
  <c r="G53" i="5"/>
  <c r="T52" i="5"/>
  <c r="U52" i="5" s="1"/>
  <c r="N52" i="5"/>
  <c r="K52" i="5"/>
  <c r="I52" i="5"/>
  <c r="J52" i="5" s="1"/>
  <c r="H52" i="5"/>
  <c r="G52" i="5"/>
  <c r="T51" i="5"/>
  <c r="U51" i="5" s="1"/>
  <c r="N51" i="5"/>
  <c r="K51" i="5"/>
  <c r="I51" i="5"/>
  <c r="J51" i="5" s="1"/>
  <c r="H51" i="5"/>
  <c r="G51" i="5"/>
  <c r="T50" i="5"/>
  <c r="U50" i="5" s="1"/>
  <c r="N50" i="5"/>
  <c r="K50" i="5"/>
  <c r="I50" i="5"/>
  <c r="J50" i="5" s="1"/>
  <c r="H50" i="5"/>
  <c r="G50" i="5"/>
  <c r="T49" i="5"/>
  <c r="U49" i="5" s="1"/>
  <c r="N49" i="5"/>
  <c r="K49" i="5"/>
  <c r="I49" i="5"/>
  <c r="J49" i="5" s="1"/>
  <c r="H49" i="5"/>
  <c r="G49" i="5"/>
  <c r="T48" i="5"/>
  <c r="U48" i="5" s="1"/>
  <c r="N48" i="5"/>
  <c r="K48" i="5"/>
  <c r="I48" i="5"/>
  <c r="J48" i="5" s="1"/>
  <c r="H48" i="5"/>
  <c r="G48" i="5"/>
  <c r="T47" i="5"/>
  <c r="U47" i="5" s="1"/>
  <c r="N47" i="5"/>
  <c r="K47" i="5"/>
  <c r="I47" i="5"/>
  <c r="J47" i="5" s="1"/>
  <c r="H47" i="5"/>
  <c r="G47" i="5"/>
  <c r="T46" i="5"/>
  <c r="U46" i="5" s="1"/>
  <c r="N46" i="5"/>
  <c r="K46" i="5"/>
  <c r="I46" i="5"/>
  <c r="J46" i="5" s="1"/>
  <c r="H46" i="5"/>
  <c r="G46" i="5"/>
  <c r="T45" i="5"/>
  <c r="U45" i="5" s="1"/>
  <c r="N45" i="5"/>
  <c r="K45" i="5"/>
  <c r="I45" i="5"/>
  <c r="H45" i="5"/>
  <c r="G45" i="5"/>
  <c r="T44" i="5"/>
  <c r="U44" i="5" s="1"/>
  <c r="N44" i="5"/>
  <c r="K44" i="5"/>
  <c r="I44" i="5"/>
  <c r="H44" i="5"/>
  <c r="G44" i="5"/>
  <c r="T43" i="5"/>
  <c r="U43" i="5" s="1"/>
  <c r="N43" i="5"/>
  <c r="K43" i="5"/>
  <c r="I43" i="5"/>
  <c r="H43" i="5"/>
  <c r="G43" i="5"/>
  <c r="T42" i="5"/>
  <c r="U42" i="5" s="1"/>
  <c r="N42" i="5"/>
  <c r="K42" i="5"/>
  <c r="I42" i="5"/>
  <c r="H42" i="5"/>
  <c r="G42" i="5"/>
  <c r="T41" i="5"/>
  <c r="U41" i="5" s="1"/>
  <c r="N41" i="5"/>
  <c r="K41" i="5"/>
  <c r="I41" i="5"/>
  <c r="H41" i="5"/>
  <c r="G41" i="5"/>
  <c r="T40" i="5"/>
  <c r="U40" i="5" s="1"/>
  <c r="N40" i="5"/>
  <c r="K40" i="5"/>
  <c r="I40" i="5"/>
  <c r="H40" i="5"/>
  <c r="G40" i="5"/>
  <c r="T39" i="5"/>
  <c r="U39" i="5" s="1"/>
  <c r="N39" i="5"/>
  <c r="K39" i="5"/>
  <c r="I39" i="5"/>
  <c r="H39" i="5"/>
  <c r="G39" i="5"/>
  <c r="T38" i="5"/>
  <c r="U38" i="5" s="1"/>
  <c r="N38" i="5"/>
  <c r="K38" i="5"/>
  <c r="I38" i="5"/>
  <c r="H38" i="5"/>
  <c r="G38" i="5"/>
  <c r="T37" i="5"/>
  <c r="U37" i="5" s="1"/>
  <c r="N37" i="5"/>
  <c r="K37" i="5"/>
  <c r="I37" i="5"/>
  <c r="H37" i="5"/>
  <c r="G37" i="5"/>
  <c r="T36" i="5"/>
  <c r="U36" i="5" s="1"/>
  <c r="N36" i="5"/>
  <c r="K36" i="5"/>
  <c r="I36" i="5"/>
  <c r="H36" i="5"/>
  <c r="G36" i="5"/>
  <c r="T35" i="5"/>
  <c r="U35" i="5" s="1"/>
  <c r="N35" i="5"/>
  <c r="K35" i="5"/>
  <c r="I35" i="5"/>
  <c r="H35" i="5"/>
  <c r="G35" i="5"/>
  <c r="T34" i="5"/>
  <c r="U34" i="5" s="1"/>
  <c r="N34" i="5"/>
  <c r="K34" i="5"/>
  <c r="I34" i="5"/>
  <c r="H34" i="5"/>
  <c r="G34" i="5"/>
  <c r="T33" i="5"/>
  <c r="U33" i="5" s="1"/>
  <c r="N33" i="5"/>
  <c r="K33" i="5"/>
  <c r="I33" i="5"/>
  <c r="H33" i="5"/>
  <c r="G33" i="5"/>
  <c r="T32" i="5"/>
  <c r="U32" i="5" s="1"/>
  <c r="N32" i="5"/>
  <c r="K32" i="5"/>
  <c r="I32" i="5"/>
  <c r="H32" i="5"/>
  <c r="G32" i="5"/>
  <c r="T31" i="5"/>
  <c r="U31" i="5" s="1"/>
  <c r="N31" i="5"/>
  <c r="K31" i="5"/>
  <c r="I31" i="5"/>
  <c r="H31" i="5"/>
  <c r="G31" i="5"/>
  <c r="T30" i="5"/>
  <c r="U30" i="5" s="1"/>
  <c r="N30" i="5"/>
  <c r="K30" i="5"/>
  <c r="I30" i="5"/>
  <c r="H30" i="5"/>
  <c r="G30" i="5"/>
  <c r="T29" i="5"/>
  <c r="U29" i="5" s="1"/>
  <c r="N29" i="5"/>
  <c r="K29" i="5"/>
  <c r="I29" i="5"/>
  <c r="H29" i="5"/>
  <c r="G29" i="5"/>
  <c r="T28" i="5"/>
  <c r="U28" i="5" s="1"/>
  <c r="N28" i="5"/>
  <c r="K28" i="5"/>
  <c r="I28" i="5"/>
  <c r="H28" i="5"/>
  <c r="G28" i="5"/>
  <c r="T27" i="5"/>
  <c r="U27" i="5" s="1"/>
  <c r="N27" i="5"/>
  <c r="K27" i="5"/>
  <c r="I27" i="5"/>
  <c r="H27" i="5"/>
  <c r="G27" i="5"/>
  <c r="T26" i="5"/>
  <c r="U26" i="5" s="1"/>
  <c r="N26" i="5"/>
  <c r="K26" i="5"/>
  <c r="I26" i="5"/>
  <c r="H26" i="5"/>
  <c r="G26" i="5"/>
  <c r="T25" i="5"/>
  <c r="U25" i="5" s="1"/>
  <c r="N25" i="5"/>
  <c r="K25" i="5"/>
  <c r="I25" i="5"/>
  <c r="H25" i="5"/>
  <c r="G25" i="5"/>
  <c r="T24" i="5"/>
  <c r="U24" i="5" s="1"/>
  <c r="N24" i="5"/>
  <c r="K24" i="5"/>
  <c r="I24" i="5"/>
  <c r="H24" i="5"/>
  <c r="G24" i="5"/>
  <c r="T23" i="5"/>
  <c r="U23" i="5" s="1"/>
  <c r="N23" i="5"/>
  <c r="K23" i="5"/>
  <c r="I23" i="5"/>
  <c r="H23" i="5"/>
  <c r="G23" i="5"/>
  <c r="T22" i="5"/>
  <c r="U22" i="5" s="1"/>
  <c r="N22" i="5"/>
  <c r="K22" i="5"/>
  <c r="I22" i="5"/>
  <c r="H22" i="5"/>
  <c r="G22" i="5"/>
  <c r="T21" i="5"/>
  <c r="U21" i="5" s="1"/>
  <c r="N21" i="5"/>
  <c r="K21" i="5"/>
  <c r="I21" i="5"/>
  <c r="H21" i="5"/>
  <c r="G21" i="5"/>
  <c r="T20" i="5"/>
  <c r="U20" i="5" s="1"/>
  <c r="N20" i="5"/>
  <c r="K20" i="5"/>
  <c r="I20" i="5"/>
  <c r="H20" i="5"/>
  <c r="G20" i="5"/>
  <c r="T19" i="5"/>
  <c r="U19" i="5" s="1"/>
  <c r="N19" i="5"/>
  <c r="K19" i="5"/>
  <c r="I19" i="5"/>
  <c r="H19" i="5"/>
  <c r="G19" i="5"/>
  <c r="T18" i="5"/>
  <c r="U18" i="5" s="1"/>
  <c r="N18" i="5"/>
  <c r="K18" i="5"/>
  <c r="I18" i="5"/>
  <c r="H18" i="5"/>
  <c r="G18" i="5"/>
  <c r="T17" i="5"/>
  <c r="U17" i="5" s="1"/>
  <c r="N17" i="5"/>
  <c r="K17" i="5"/>
  <c r="I17" i="5"/>
  <c r="H17" i="5"/>
  <c r="G17" i="5"/>
  <c r="T16" i="5"/>
  <c r="U16" i="5" s="1"/>
  <c r="N16" i="5"/>
  <c r="K16" i="5"/>
  <c r="I16" i="5"/>
  <c r="H16" i="5"/>
  <c r="G16" i="5"/>
  <c r="T15" i="5"/>
  <c r="U15" i="5" s="1"/>
  <c r="N15" i="5"/>
  <c r="K15" i="5"/>
  <c r="I15" i="5"/>
  <c r="H15" i="5"/>
  <c r="G15" i="5"/>
  <c r="T14" i="5"/>
  <c r="U14" i="5" s="1"/>
  <c r="N14" i="5"/>
  <c r="K14" i="5"/>
  <c r="I14" i="5"/>
  <c r="H14" i="5"/>
  <c r="G14" i="5"/>
  <c r="T13" i="5"/>
  <c r="U13" i="5" s="1"/>
  <c r="N13" i="5"/>
  <c r="K13" i="5"/>
  <c r="I13" i="5"/>
  <c r="H13" i="5"/>
  <c r="G13" i="5"/>
  <c r="T12" i="5"/>
  <c r="U12" i="5" s="1"/>
  <c r="N12" i="5"/>
  <c r="K12" i="5"/>
  <c r="I12" i="5"/>
  <c r="H12" i="5"/>
  <c r="G12" i="5"/>
  <c r="T11" i="5"/>
  <c r="U11" i="5" s="1"/>
  <c r="N11" i="5"/>
  <c r="K11" i="5"/>
  <c r="I11" i="5"/>
  <c r="H11" i="5"/>
  <c r="G11" i="5"/>
  <c r="T10" i="5"/>
  <c r="U10" i="5" s="1"/>
  <c r="N10" i="5"/>
  <c r="K10" i="5"/>
  <c r="I10" i="5"/>
  <c r="H10" i="5"/>
  <c r="G10" i="5"/>
  <c r="F10" i="5"/>
  <c r="T9" i="5"/>
  <c r="U9" i="5" s="1"/>
  <c r="N9" i="5"/>
  <c r="K9" i="5"/>
  <c r="I9" i="5"/>
  <c r="H9" i="5"/>
  <c r="G9" i="5"/>
  <c r="F9" i="5"/>
  <c r="T8" i="5"/>
  <c r="U8" i="5" s="1"/>
  <c r="N8" i="5"/>
  <c r="K8" i="5"/>
  <c r="I8" i="5"/>
  <c r="H8" i="5"/>
  <c r="G8" i="5"/>
  <c r="F8" i="5"/>
  <c r="T7" i="5"/>
  <c r="U7" i="5" s="1"/>
  <c r="N7" i="5"/>
  <c r="K7" i="5"/>
  <c r="I7" i="5"/>
  <c r="H7" i="5"/>
  <c r="G7" i="5"/>
  <c r="F7" i="5"/>
  <c r="T6" i="5"/>
  <c r="U6" i="5" s="1"/>
  <c r="N6" i="5"/>
  <c r="K6" i="5"/>
  <c r="I6" i="5"/>
  <c r="H6" i="5"/>
  <c r="G6" i="5"/>
  <c r="F6" i="5"/>
  <c r="T5" i="5"/>
  <c r="U5" i="5" s="1"/>
  <c r="N5" i="5"/>
  <c r="K5" i="5"/>
  <c r="I5" i="5"/>
  <c r="H5" i="5"/>
  <c r="G5" i="5"/>
  <c r="F5" i="5"/>
  <c r="S164" i="4"/>
  <c r="H164" i="4"/>
  <c r="E164" i="4"/>
  <c r="S163" i="4"/>
  <c r="H163" i="4"/>
  <c r="E163" i="4"/>
  <c r="S162" i="4"/>
  <c r="H162" i="4"/>
  <c r="E162" i="4"/>
  <c r="S161" i="4"/>
  <c r="H161" i="4"/>
  <c r="E161" i="4"/>
  <c r="S160" i="4"/>
  <c r="H160" i="4"/>
  <c r="E160" i="4"/>
  <c r="S159" i="4"/>
  <c r="H159" i="4"/>
  <c r="E159" i="4"/>
  <c r="S158" i="4"/>
  <c r="H158" i="4"/>
  <c r="E158" i="4"/>
  <c r="S157" i="4"/>
  <c r="H157" i="4"/>
  <c r="E157" i="4"/>
  <c r="S156" i="4"/>
  <c r="H156" i="4"/>
  <c r="E156" i="4"/>
  <c r="S155" i="4"/>
  <c r="H155" i="4"/>
  <c r="E155" i="4"/>
  <c r="S154" i="4"/>
  <c r="H154" i="4"/>
  <c r="E154" i="4"/>
  <c r="S153" i="4"/>
  <c r="H153" i="4"/>
  <c r="E153" i="4"/>
  <c r="S152" i="4"/>
  <c r="H152" i="4"/>
  <c r="E152" i="4"/>
  <c r="S151" i="4"/>
  <c r="H151" i="4"/>
  <c r="E151" i="4"/>
  <c r="S150" i="4"/>
  <c r="H150" i="4"/>
  <c r="E150" i="4"/>
  <c r="S149" i="4"/>
  <c r="H149" i="4"/>
  <c r="E149" i="4"/>
  <c r="S148" i="4"/>
  <c r="H148" i="4"/>
  <c r="E148" i="4"/>
  <c r="S147" i="4"/>
  <c r="H147" i="4"/>
  <c r="E147" i="4"/>
  <c r="S146" i="4"/>
  <c r="H146" i="4"/>
  <c r="E146" i="4"/>
  <c r="S145" i="4"/>
  <c r="H145" i="4"/>
  <c r="E145" i="4"/>
  <c r="S144" i="4"/>
  <c r="H144" i="4"/>
  <c r="E144" i="4"/>
  <c r="S143" i="4"/>
  <c r="H143" i="4"/>
  <c r="E143" i="4"/>
  <c r="S142" i="4"/>
  <c r="H142" i="4"/>
  <c r="E142" i="4"/>
  <c r="S141" i="4"/>
  <c r="H141" i="4"/>
  <c r="E141" i="4"/>
  <c r="S140" i="4"/>
  <c r="H140" i="4"/>
  <c r="E140" i="4"/>
  <c r="S139" i="4"/>
  <c r="H139" i="4"/>
  <c r="E139" i="4"/>
  <c r="S138" i="4"/>
  <c r="H138" i="4"/>
  <c r="E138" i="4"/>
  <c r="S137" i="4"/>
  <c r="H137" i="4"/>
  <c r="E137" i="4"/>
  <c r="S136" i="4"/>
  <c r="H136" i="4"/>
  <c r="E136" i="4"/>
  <c r="S135" i="4"/>
  <c r="H135" i="4"/>
  <c r="E135" i="4"/>
  <c r="S134" i="4"/>
  <c r="H134" i="4"/>
  <c r="E134" i="4"/>
  <c r="S133" i="4"/>
  <c r="H133" i="4"/>
  <c r="E133" i="4"/>
  <c r="S132" i="4"/>
  <c r="H132" i="4"/>
  <c r="E132" i="4"/>
  <c r="S131" i="4"/>
  <c r="H131" i="4"/>
  <c r="E131" i="4"/>
  <c r="S130" i="4"/>
  <c r="H130" i="4"/>
  <c r="E130" i="4"/>
  <c r="S129" i="4"/>
  <c r="H129" i="4"/>
  <c r="E129" i="4"/>
  <c r="S128" i="4"/>
  <c r="H128" i="4"/>
  <c r="E128" i="4"/>
  <c r="S127" i="4"/>
  <c r="H127" i="4"/>
  <c r="E127" i="4"/>
  <c r="S126" i="4"/>
  <c r="H126" i="4"/>
  <c r="E126" i="4"/>
  <c r="S125" i="4"/>
  <c r="H125" i="4"/>
  <c r="E125" i="4"/>
  <c r="S124" i="4"/>
  <c r="H124" i="4"/>
  <c r="E124" i="4"/>
  <c r="S123" i="4"/>
  <c r="H123" i="4"/>
  <c r="E123" i="4"/>
  <c r="S122" i="4"/>
  <c r="H122" i="4"/>
  <c r="E122" i="4"/>
  <c r="S121" i="4"/>
  <c r="H121" i="4"/>
  <c r="E121" i="4"/>
  <c r="S120" i="4"/>
  <c r="H120" i="4"/>
  <c r="E120" i="4"/>
  <c r="S119" i="4"/>
  <c r="H119" i="4"/>
  <c r="E119" i="4"/>
  <c r="S118" i="4"/>
  <c r="H118" i="4"/>
  <c r="E118" i="4"/>
  <c r="S117" i="4"/>
  <c r="H117" i="4"/>
  <c r="E117" i="4"/>
  <c r="S116" i="4"/>
  <c r="H116" i="4"/>
  <c r="E116" i="4"/>
  <c r="S115" i="4"/>
  <c r="H115" i="4"/>
  <c r="E115" i="4"/>
  <c r="S114" i="4"/>
  <c r="H114" i="4"/>
  <c r="E114" i="4"/>
  <c r="S113" i="4"/>
  <c r="H113" i="4"/>
  <c r="E113" i="4"/>
  <c r="S112" i="4"/>
  <c r="H112" i="4"/>
  <c r="E112" i="4"/>
  <c r="S111" i="4"/>
  <c r="H111" i="4"/>
  <c r="E111" i="4"/>
  <c r="S110" i="4"/>
  <c r="H110" i="4"/>
  <c r="E110" i="4"/>
  <c r="S109" i="4"/>
  <c r="H109" i="4"/>
  <c r="E109" i="4"/>
  <c r="S108" i="4"/>
  <c r="T108" i="4" s="1"/>
  <c r="X108" i="4" s="1"/>
  <c r="H108" i="4"/>
  <c r="E108" i="4"/>
  <c r="S107" i="4"/>
  <c r="H107" i="4"/>
  <c r="E107" i="4"/>
  <c r="S106" i="4"/>
  <c r="T106" i="4" s="1"/>
  <c r="X106" i="4" s="1"/>
  <c r="H106" i="4"/>
  <c r="E106" i="4"/>
  <c r="S105" i="4"/>
  <c r="AB105" i="4" s="1"/>
  <c r="H105" i="4"/>
  <c r="E105" i="4"/>
  <c r="F105" i="5" s="1"/>
  <c r="S104" i="4"/>
  <c r="H104" i="4"/>
  <c r="E104" i="4"/>
  <c r="F104" i="5" s="1"/>
  <c r="S103" i="4"/>
  <c r="H103" i="4"/>
  <c r="E103" i="4"/>
  <c r="F103" i="5" s="1"/>
  <c r="S102" i="4"/>
  <c r="H102" i="4"/>
  <c r="E102" i="4"/>
  <c r="F102" i="5" s="1"/>
  <c r="S101" i="4"/>
  <c r="H101" i="4"/>
  <c r="E101" i="4"/>
  <c r="F101" i="5" s="1"/>
  <c r="S100" i="4"/>
  <c r="H100" i="4"/>
  <c r="E100" i="4"/>
  <c r="F100" i="5" s="1"/>
  <c r="S99" i="4"/>
  <c r="H99" i="4"/>
  <c r="E99" i="4"/>
  <c r="F99" i="5" s="1"/>
  <c r="S98" i="4"/>
  <c r="H98" i="4"/>
  <c r="E98" i="4"/>
  <c r="F98" i="5" s="1"/>
  <c r="S97" i="4"/>
  <c r="H97" i="4"/>
  <c r="E97" i="4"/>
  <c r="F97" i="5" s="1"/>
  <c r="S96" i="4"/>
  <c r="H96" i="4"/>
  <c r="E96" i="4"/>
  <c r="F96" i="5" s="1"/>
  <c r="S95" i="4"/>
  <c r="H95" i="4"/>
  <c r="E95" i="4"/>
  <c r="F95" i="5" s="1"/>
  <c r="S94" i="4"/>
  <c r="H94" i="4"/>
  <c r="E94" i="4"/>
  <c r="F94" i="5" s="1"/>
  <c r="S93" i="4"/>
  <c r="H93" i="4"/>
  <c r="E93" i="4"/>
  <c r="F93" i="5" s="1"/>
  <c r="S92" i="4"/>
  <c r="H92" i="4"/>
  <c r="E92" i="4"/>
  <c r="F92" i="5" s="1"/>
  <c r="S91" i="4"/>
  <c r="H91" i="4"/>
  <c r="E91" i="4"/>
  <c r="F91" i="5" s="1"/>
  <c r="S90" i="4"/>
  <c r="H90" i="4"/>
  <c r="E90" i="4"/>
  <c r="F90" i="5" s="1"/>
  <c r="S89" i="4"/>
  <c r="H89" i="4"/>
  <c r="E89" i="4"/>
  <c r="F89" i="5" s="1"/>
  <c r="S88" i="4"/>
  <c r="H88" i="4"/>
  <c r="E88" i="4"/>
  <c r="F88" i="5" s="1"/>
  <c r="S87" i="4"/>
  <c r="H87" i="4"/>
  <c r="E87" i="4"/>
  <c r="F87" i="5" s="1"/>
  <c r="S86" i="4"/>
  <c r="H86" i="4"/>
  <c r="E86" i="4"/>
  <c r="F86" i="5" s="1"/>
  <c r="S85" i="4"/>
  <c r="H85" i="4"/>
  <c r="E85" i="4"/>
  <c r="F85" i="5" s="1"/>
  <c r="S84" i="4"/>
  <c r="H84" i="4"/>
  <c r="E84" i="4"/>
  <c r="F84" i="5" s="1"/>
  <c r="S83" i="4"/>
  <c r="H83" i="4"/>
  <c r="E83" i="4"/>
  <c r="F83" i="5" s="1"/>
  <c r="S82" i="4"/>
  <c r="H82" i="4"/>
  <c r="E82" i="4"/>
  <c r="F82" i="5" s="1"/>
  <c r="S81" i="4"/>
  <c r="H81" i="4"/>
  <c r="E81" i="4"/>
  <c r="F81" i="5" s="1"/>
  <c r="S80" i="4"/>
  <c r="H80" i="4"/>
  <c r="E80" i="4"/>
  <c r="F80" i="5" s="1"/>
  <c r="S79" i="4"/>
  <c r="H79" i="4"/>
  <c r="E79" i="4"/>
  <c r="F79" i="5" s="1"/>
  <c r="S78" i="4"/>
  <c r="H78" i="4"/>
  <c r="E78" i="4"/>
  <c r="F78" i="5" s="1"/>
  <c r="S77" i="4"/>
  <c r="H77" i="4"/>
  <c r="E77" i="4"/>
  <c r="F77" i="5" s="1"/>
  <c r="S76" i="4"/>
  <c r="H76" i="4"/>
  <c r="E76" i="4"/>
  <c r="F76" i="5" s="1"/>
  <c r="S75" i="4"/>
  <c r="H75" i="4"/>
  <c r="E75" i="4"/>
  <c r="F75" i="5" s="1"/>
  <c r="S74" i="4"/>
  <c r="H74" i="4"/>
  <c r="E74" i="4"/>
  <c r="F74" i="5" s="1"/>
  <c r="S73" i="4"/>
  <c r="H73" i="4"/>
  <c r="E73" i="4"/>
  <c r="F73" i="5" s="1"/>
  <c r="S72" i="4"/>
  <c r="H72" i="4"/>
  <c r="E72" i="4"/>
  <c r="F72" i="5" s="1"/>
  <c r="S71" i="4"/>
  <c r="H71" i="4"/>
  <c r="E71" i="4"/>
  <c r="F71" i="5" s="1"/>
  <c r="S70" i="4"/>
  <c r="H70" i="4"/>
  <c r="E70" i="4"/>
  <c r="F70" i="5" s="1"/>
  <c r="S69" i="4"/>
  <c r="H69" i="4"/>
  <c r="E69" i="4"/>
  <c r="F69" i="5" s="1"/>
  <c r="S68" i="4"/>
  <c r="H68" i="4"/>
  <c r="E68" i="4"/>
  <c r="F68" i="5" s="1"/>
  <c r="S67" i="4"/>
  <c r="H67" i="4"/>
  <c r="E67" i="4"/>
  <c r="F67" i="5" s="1"/>
  <c r="S66" i="4"/>
  <c r="H66" i="4"/>
  <c r="E66" i="4"/>
  <c r="F66" i="5" s="1"/>
  <c r="S65" i="4"/>
  <c r="H65" i="4"/>
  <c r="E65" i="4"/>
  <c r="F65" i="5" s="1"/>
  <c r="S64" i="4"/>
  <c r="H64" i="4"/>
  <c r="E64" i="4"/>
  <c r="F64" i="5" s="1"/>
  <c r="S63" i="4"/>
  <c r="H63" i="4"/>
  <c r="E63" i="4"/>
  <c r="F63" i="5" s="1"/>
  <c r="S62" i="4"/>
  <c r="H62" i="4"/>
  <c r="E62" i="4"/>
  <c r="F62" i="5" s="1"/>
  <c r="S61" i="4"/>
  <c r="H61" i="4"/>
  <c r="E61" i="4"/>
  <c r="F61" i="5" s="1"/>
  <c r="S60" i="4"/>
  <c r="H60" i="4"/>
  <c r="E60" i="4"/>
  <c r="F60" i="5" s="1"/>
  <c r="S59" i="4"/>
  <c r="H59" i="4"/>
  <c r="E59" i="4"/>
  <c r="F59" i="5" s="1"/>
  <c r="S58" i="4"/>
  <c r="H58" i="4"/>
  <c r="E58" i="4"/>
  <c r="F58" i="5" s="1"/>
  <c r="S57" i="4"/>
  <c r="H57" i="4"/>
  <c r="E57" i="4"/>
  <c r="F57" i="5" s="1"/>
  <c r="S56" i="4"/>
  <c r="H56" i="4"/>
  <c r="E56" i="4"/>
  <c r="F56" i="5" s="1"/>
  <c r="S55" i="4"/>
  <c r="H55" i="4"/>
  <c r="E55" i="4"/>
  <c r="S54" i="4"/>
  <c r="H54" i="4"/>
  <c r="E54" i="4"/>
  <c r="S53" i="4"/>
  <c r="H53" i="4"/>
  <c r="E53" i="4"/>
  <c r="S52" i="4"/>
  <c r="H52" i="4"/>
  <c r="E52" i="4"/>
  <c r="S51" i="4"/>
  <c r="H51" i="4"/>
  <c r="E51" i="4"/>
  <c r="S50" i="4"/>
  <c r="H50" i="4"/>
  <c r="E50" i="4"/>
  <c r="S49" i="4"/>
  <c r="H49" i="4"/>
  <c r="E49" i="4"/>
  <c r="S48" i="4"/>
  <c r="H48" i="4"/>
  <c r="E48" i="4"/>
  <c r="S47" i="4"/>
  <c r="H47" i="4"/>
  <c r="E47" i="4"/>
  <c r="S46" i="4"/>
  <c r="H46" i="4"/>
  <c r="E46" i="4"/>
  <c r="S45" i="4"/>
  <c r="H45" i="4"/>
  <c r="E45" i="4"/>
  <c r="S44" i="4"/>
  <c r="H44" i="4"/>
  <c r="E44" i="4"/>
  <c r="F44" i="5" s="1"/>
  <c r="S43" i="4"/>
  <c r="H43" i="4"/>
  <c r="E43" i="4"/>
  <c r="F43" i="5" s="1"/>
  <c r="S42" i="4"/>
  <c r="H42" i="4"/>
  <c r="E42" i="4"/>
  <c r="F42" i="5" s="1"/>
  <c r="S41" i="4"/>
  <c r="H41" i="4"/>
  <c r="E41" i="4"/>
  <c r="F41" i="5" s="1"/>
  <c r="S40" i="4"/>
  <c r="H40" i="4"/>
  <c r="E40" i="4"/>
  <c r="F40" i="5" s="1"/>
  <c r="S39" i="4"/>
  <c r="H39" i="4"/>
  <c r="E39" i="4"/>
  <c r="F39" i="5" s="1"/>
  <c r="S38" i="4"/>
  <c r="H38" i="4"/>
  <c r="E38" i="4"/>
  <c r="F38" i="5" s="1"/>
  <c r="S37" i="4"/>
  <c r="H37" i="4"/>
  <c r="E37" i="4"/>
  <c r="F37" i="5" s="1"/>
  <c r="S36" i="4"/>
  <c r="H36" i="4"/>
  <c r="E36" i="4"/>
  <c r="F36" i="5" s="1"/>
  <c r="S35" i="4"/>
  <c r="H35" i="4"/>
  <c r="E35" i="4"/>
  <c r="F35" i="5" s="1"/>
  <c r="S34" i="4"/>
  <c r="H34" i="4"/>
  <c r="E34" i="4"/>
  <c r="F34" i="5" s="1"/>
  <c r="S33" i="4"/>
  <c r="H33" i="4"/>
  <c r="E33" i="4"/>
  <c r="F33" i="5" s="1"/>
  <c r="S32" i="4"/>
  <c r="H32" i="4"/>
  <c r="E32" i="4"/>
  <c r="F32" i="5" s="1"/>
  <c r="S31" i="4"/>
  <c r="H31" i="4"/>
  <c r="E31" i="4"/>
  <c r="F31" i="5" s="1"/>
  <c r="S30" i="4"/>
  <c r="H30" i="4"/>
  <c r="E30" i="4"/>
  <c r="F30" i="5" s="1"/>
  <c r="S29" i="4"/>
  <c r="H29" i="4"/>
  <c r="E29" i="4"/>
  <c r="F29" i="5" s="1"/>
  <c r="S28" i="4"/>
  <c r="H28" i="4"/>
  <c r="E28" i="4"/>
  <c r="F28" i="5" s="1"/>
  <c r="S27" i="4"/>
  <c r="H27" i="4"/>
  <c r="E27" i="4"/>
  <c r="F27" i="5" s="1"/>
  <c r="S26" i="4"/>
  <c r="H26" i="4"/>
  <c r="E26" i="4"/>
  <c r="F26" i="5" s="1"/>
  <c r="S25" i="4"/>
  <c r="H25" i="4"/>
  <c r="E25" i="4"/>
  <c r="F25" i="5" s="1"/>
  <c r="S24" i="4"/>
  <c r="H24" i="4"/>
  <c r="E24" i="4"/>
  <c r="F24" i="5" s="1"/>
  <c r="S23" i="4"/>
  <c r="H23" i="4"/>
  <c r="E23" i="4"/>
  <c r="F23" i="5" s="1"/>
  <c r="S22" i="4"/>
  <c r="AB22" i="4" s="1"/>
  <c r="H22" i="4"/>
  <c r="E22" i="4"/>
  <c r="F22" i="5" s="1"/>
  <c r="S21" i="4"/>
  <c r="H21" i="4"/>
  <c r="E21" i="4"/>
  <c r="F21" i="5" s="1"/>
  <c r="S20" i="4"/>
  <c r="H20" i="4"/>
  <c r="E20" i="4"/>
  <c r="F20" i="5" s="1"/>
  <c r="S19" i="4"/>
  <c r="H19" i="4"/>
  <c r="E19" i="4"/>
  <c r="F19" i="5" s="1"/>
  <c r="S18" i="4"/>
  <c r="H18" i="4"/>
  <c r="E18" i="4"/>
  <c r="F18" i="5" s="1"/>
  <c r="S17" i="4"/>
  <c r="H17" i="4"/>
  <c r="E17" i="4"/>
  <c r="F17" i="5" s="1"/>
  <c r="S16" i="4"/>
  <c r="H16" i="4"/>
  <c r="E16" i="4"/>
  <c r="S15" i="4"/>
  <c r="H15" i="4"/>
  <c r="E15" i="4"/>
  <c r="F15" i="5" s="1"/>
  <c r="S14" i="4"/>
  <c r="H14" i="4"/>
  <c r="E14" i="4"/>
  <c r="F14" i="5" s="1"/>
  <c r="S13" i="4"/>
  <c r="H13" i="4"/>
  <c r="E13" i="4"/>
  <c r="F13" i="5" s="1"/>
  <c r="S12" i="4"/>
  <c r="H12" i="4"/>
  <c r="E12" i="4"/>
  <c r="F12" i="5" s="1"/>
  <c r="S11" i="4"/>
  <c r="H11" i="4"/>
  <c r="E11" i="4"/>
  <c r="F11" i="5" s="1"/>
  <c r="S10" i="4"/>
  <c r="H10" i="4"/>
  <c r="E10" i="4"/>
  <c r="S9" i="4"/>
  <c r="H9" i="4"/>
  <c r="E9" i="4"/>
  <c r="Y9" i="4" s="1"/>
  <c r="S8" i="4"/>
  <c r="H8" i="4"/>
  <c r="E8" i="4"/>
  <c r="Y8" i="4" s="1"/>
  <c r="S7" i="4"/>
  <c r="H7" i="4"/>
  <c r="E7" i="4"/>
  <c r="Y7" i="4" s="1"/>
  <c r="S6" i="4"/>
  <c r="H6" i="4"/>
  <c r="E6" i="4"/>
  <c r="Y6" i="4" s="1"/>
  <c r="S5" i="4"/>
  <c r="H5" i="4"/>
  <c r="E5" i="4"/>
  <c r="Y5" i="4" s="1"/>
  <c r="X164" i="3"/>
  <c r="W164" i="3"/>
  <c r="V164" i="3"/>
  <c r="T164" i="3"/>
  <c r="O164" i="3"/>
  <c r="G164" i="3"/>
  <c r="U164" i="3" s="1"/>
  <c r="X163" i="3"/>
  <c r="W163" i="3"/>
  <c r="V163" i="3"/>
  <c r="T163" i="3"/>
  <c r="O163" i="3"/>
  <c r="G163" i="3"/>
  <c r="U163" i="3" s="1"/>
  <c r="X162" i="3"/>
  <c r="W162" i="3"/>
  <c r="V162" i="3"/>
  <c r="T162" i="3"/>
  <c r="O162" i="3"/>
  <c r="G162" i="3"/>
  <c r="U162" i="3" s="1"/>
  <c r="X161" i="3"/>
  <c r="W161" i="3"/>
  <c r="V161" i="3"/>
  <c r="T161" i="3"/>
  <c r="O161" i="3"/>
  <c r="G161" i="3"/>
  <c r="U161" i="3" s="1"/>
  <c r="X160" i="3"/>
  <c r="W160" i="3"/>
  <c r="V160" i="3"/>
  <c r="T160" i="3"/>
  <c r="O160" i="3"/>
  <c r="G160" i="3"/>
  <c r="U160" i="3" s="1"/>
  <c r="X159" i="3"/>
  <c r="W159" i="3"/>
  <c r="V159" i="3"/>
  <c r="T159" i="3"/>
  <c r="O159" i="3"/>
  <c r="G159" i="3"/>
  <c r="U159" i="3" s="1"/>
  <c r="X158" i="3"/>
  <c r="W158" i="3"/>
  <c r="V158" i="3"/>
  <c r="T158" i="3"/>
  <c r="O158" i="3"/>
  <c r="G158" i="3"/>
  <c r="U158" i="3" s="1"/>
  <c r="X157" i="3"/>
  <c r="W157" i="3"/>
  <c r="V157" i="3"/>
  <c r="T157" i="3"/>
  <c r="O157" i="3"/>
  <c r="G157" i="3"/>
  <c r="U157" i="3" s="1"/>
  <c r="X156" i="3"/>
  <c r="W156" i="3"/>
  <c r="V156" i="3"/>
  <c r="T156" i="3"/>
  <c r="O156" i="3"/>
  <c r="G156" i="3"/>
  <c r="U156" i="3" s="1"/>
  <c r="X155" i="3"/>
  <c r="W155" i="3"/>
  <c r="V155" i="3"/>
  <c r="T155" i="3"/>
  <c r="O155" i="3"/>
  <c r="G155" i="3"/>
  <c r="U155" i="3" s="1"/>
  <c r="X154" i="3"/>
  <c r="W154" i="3"/>
  <c r="V154" i="3"/>
  <c r="T154" i="3"/>
  <c r="O154" i="3"/>
  <c r="G154" i="3"/>
  <c r="U154" i="3" s="1"/>
  <c r="X153" i="3"/>
  <c r="W153" i="3"/>
  <c r="V153" i="3"/>
  <c r="T153" i="3"/>
  <c r="O153" i="3"/>
  <c r="G153" i="3"/>
  <c r="U153" i="3" s="1"/>
  <c r="X152" i="3"/>
  <c r="W152" i="3"/>
  <c r="V152" i="3"/>
  <c r="T152" i="3"/>
  <c r="O152" i="3"/>
  <c r="G152" i="3"/>
  <c r="U152" i="3" s="1"/>
  <c r="X151" i="3"/>
  <c r="W151" i="3"/>
  <c r="V151" i="3"/>
  <c r="T151" i="3"/>
  <c r="O151" i="3"/>
  <c r="G151" i="3"/>
  <c r="U151" i="3" s="1"/>
  <c r="X150" i="3"/>
  <c r="W150" i="3"/>
  <c r="V150" i="3"/>
  <c r="T150" i="3"/>
  <c r="O150" i="3"/>
  <c r="G150" i="3"/>
  <c r="U150" i="3" s="1"/>
  <c r="X149" i="3"/>
  <c r="W149" i="3"/>
  <c r="V149" i="3"/>
  <c r="T149" i="3"/>
  <c r="O149" i="3"/>
  <c r="G149" i="3"/>
  <c r="U149" i="3" s="1"/>
  <c r="X148" i="3"/>
  <c r="W148" i="3"/>
  <c r="V148" i="3"/>
  <c r="T148" i="3"/>
  <c r="O148" i="3"/>
  <c r="G148" i="3"/>
  <c r="U148" i="3" s="1"/>
  <c r="X147" i="3"/>
  <c r="W147" i="3"/>
  <c r="V147" i="3"/>
  <c r="T147" i="3"/>
  <c r="O147" i="3"/>
  <c r="G147" i="3"/>
  <c r="U147" i="3" s="1"/>
  <c r="X146" i="3"/>
  <c r="W146" i="3"/>
  <c r="V146" i="3"/>
  <c r="T146" i="3"/>
  <c r="O146" i="3"/>
  <c r="G146" i="3"/>
  <c r="U146" i="3" s="1"/>
  <c r="X145" i="3"/>
  <c r="W145" i="3"/>
  <c r="V145" i="3"/>
  <c r="T145" i="3"/>
  <c r="O145" i="3"/>
  <c r="G145" i="3"/>
  <c r="U145" i="3" s="1"/>
  <c r="X144" i="3"/>
  <c r="W144" i="3"/>
  <c r="V144" i="3"/>
  <c r="T144" i="3"/>
  <c r="O144" i="3"/>
  <c r="G144" i="3"/>
  <c r="U144" i="3" s="1"/>
  <c r="X143" i="3"/>
  <c r="W143" i="3"/>
  <c r="V143" i="3"/>
  <c r="T143" i="3"/>
  <c r="O143" i="3"/>
  <c r="G143" i="3"/>
  <c r="U143" i="3" s="1"/>
  <c r="X142" i="3"/>
  <c r="W142" i="3"/>
  <c r="V142" i="3"/>
  <c r="T142" i="3"/>
  <c r="O142" i="3"/>
  <c r="G142" i="3"/>
  <c r="U142" i="3" s="1"/>
  <c r="X141" i="3"/>
  <c r="W141" i="3"/>
  <c r="V141" i="3"/>
  <c r="T141" i="3"/>
  <c r="O141" i="3"/>
  <c r="G141" i="3"/>
  <c r="U141" i="3" s="1"/>
  <c r="X140" i="3"/>
  <c r="W140" i="3"/>
  <c r="V140" i="3"/>
  <c r="T140" i="3"/>
  <c r="O140" i="3"/>
  <c r="G140" i="3"/>
  <c r="U140" i="3" s="1"/>
  <c r="X139" i="3"/>
  <c r="W139" i="3"/>
  <c r="V139" i="3"/>
  <c r="T139" i="3"/>
  <c r="O139" i="3"/>
  <c r="G139" i="3"/>
  <c r="U139" i="3" s="1"/>
  <c r="X138" i="3"/>
  <c r="W138" i="3"/>
  <c r="V138" i="3"/>
  <c r="T138" i="3"/>
  <c r="O138" i="3"/>
  <c r="G138" i="3"/>
  <c r="U138" i="3" s="1"/>
  <c r="X137" i="3"/>
  <c r="W137" i="3"/>
  <c r="V137" i="3"/>
  <c r="T137" i="3"/>
  <c r="O137" i="3"/>
  <c r="G137" i="3"/>
  <c r="U137" i="3" s="1"/>
  <c r="X136" i="3"/>
  <c r="W136" i="3"/>
  <c r="V136" i="3"/>
  <c r="T136" i="3"/>
  <c r="O136" i="3"/>
  <c r="G136" i="3"/>
  <c r="U136" i="3" s="1"/>
  <c r="X135" i="3"/>
  <c r="W135" i="3"/>
  <c r="V135" i="3"/>
  <c r="T135" i="3"/>
  <c r="O135" i="3"/>
  <c r="G135" i="3"/>
  <c r="U135" i="3" s="1"/>
  <c r="X134" i="3"/>
  <c r="W134" i="3"/>
  <c r="V134" i="3"/>
  <c r="T134" i="3"/>
  <c r="O134" i="3"/>
  <c r="G134" i="3"/>
  <c r="U134" i="3" s="1"/>
  <c r="X133" i="3"/>
  <c r="W133" i="3"/>
  <c r="V133" i="3"/>
  <c r="T133" i="3"/>
  <c r="O133" i="3"/>
  <c r="G133" i="3"/>
  <c r="U133" i="3" s="1"/>
  <c r="X132" i="3"/>
  <c r="W132" i="3"/>
  <c r="V132" i="3"/>
  <c r="T132" i="3"/>
  <c r="O132" i="3"/>
  <c r="G132" i="3"/>
  <c r="U132" i="3" s="1"/>
  <c r="X131" i="3"/>
  <c r="W131" i="3"/>
  <c r="V131" i="3"/>
  <c r="T131" i="3"/>
  <c r="O131" i="3"/>
  <c r="G131" i="3"/>
  <c r="U131" i="3" s="1"/>
  <c r="X130" i="3"/>
  <c r="W130" i="3"/>
  <c r="V130" i="3"/>
  <c r="T130" i="3"/>
  <c r="O130" i="3"/>
  <c r="G130" i="3"/>
  <c r="U130" i="3" s="1"/>
  <c r="X129" i="3"/>
  <c r="W129" i="3"/>
  <c r="V129" i="3"/>
  <c r="T129" i="3"/>
  <c r="O129" i="3"/>
  <c r="G129" i="3"/>
  <c r="U129" i="3" s="1"/>
  <c r="X128" i="3"/>
  <c r="W128" i="3"/>
  <c r="V128" i="3"/>
  <c r="T128" i="3"/>
  <c r="O128" i="3"/>
  <c r="G128" i="3"/>
  <c r="U128" i="3" s="1"/>
  <c r="X127" i="3"/>
  <c r="W127" i="3"/>
  <c r="V127" i="3"/>
  <c r="T127" i="3"/>
  <c r="O127" i="3"/>
  <c r="G127" i="3"/>
  <c r="U127" i="3" s="1"/>
  <c r="X126" i="3"/>
  <c r="W126" i="3"/>
  <c r="V126" i="3"/>
  <c r="T126" i="3"/>
  <c r="O126" i="3"/>
  <c r="G126" i="3"/>
  <c r="U126" i="3" s="1"/>
  <c r="X125" i="3"/>
  <c r="W125" i="3"/>
  <c r="V125" i="3"/>
  <c r="T125" i="3"/>
  <c r="O125" i="3"/>
  <c r="G125" i="3"/>
  <c r="U125" i="3" s="1"/>
  <c r="X124" i="3"/>
  <c r="W124" i="3"/>
  <c r="V124" i="3"/>
  <c r="T124" i="3"/>
  <c r="O124" i="3"/>
  <c r="G124" i="3"/>
  <c r="U124" i="3" s="1"/>
  <c r="X123" i="3"/>
  <c r="W123" i="3"/>
  <c r="V123" i="3"/>
  <c r="T123" i="3"/>
  <c r="O123" i="3"/>
  <c r="G123" i="3"/>
  <c r="U123" i="3" s="1"/>
  <c r="X122" i="3"/>
  <c r="W122" i="3"/>
  <c r="V122" i="3"/>
  <c r="T122" i="3"/>
  <c r="O122" i="3"/>
  <c r="G122" i="3"/>
  <c r="U122" i="3" s="1"/>
  <c r="X121" i="3"/>
  <c r="W121" i="3"/>
  <c r="V121" i="3"/>
  <c r="T121" i="3"/>
  <c r="O121" i="3"/>
  <c r="G121" i="3"/>
  <c r="U121" i="3" s="1"/>
  <c r="X120" i="3"/>
  <c r="W120" i="3"/>
  <c r="V120" i="3"/>
  <c r="T120" i="3"/>
  <c r="O120" i="3"/>
  <c r="G120" i="3"/>
  <c r="U120" i="3" s="1"/>
  <c r="X119" i="3"/>
  <c r="W119" i="3"/>
  <c r="V119" i="3"/>
  <c r="T119" i="3"/>
  <c r="O119" i="3"/>
  <c r="G119" i="3"/>
  <c r="U119" i="3" s="1"/>
  <c r="X118" i="3"/>
  <c r="W118" i="3"/>
  <c r="V118" i="3"/>
  <c r="T118" i="3"/>
  <c r="O118" i="3"/>
  <c r="G118" i="3"/>
  <c r="U118" i="3" s="1"/>
  <c r="X117" i="3"/>
  <c r="W117" i="3"/>
  <c r="V117" i="3"/>
  <c r="T117" i="3"/>
  <c r="O117" i="3"/>
  <c r="G117" i="3"/>
  <c r="U117" i="3" s="1"/>
  <c r="X116" i="3"/>
  <c r="W116" i="3"/>
  <c r="V116" i="3"/>
  <c r="T116" i="3"/>
  <c r="O116" i="3"/>
  <c r="G116" i="3"/>
  <c r="U116" i="3" s="1"/>
  <c r="X115" i="3"/>
  <c r="W115" i="3"/>
  <c r="V115" i="3"/>
  <c r="T115" i="3"/>
  <c r="O115" i="3"/>
  <c r="G115" i="3"/>
  <c r="U115" i="3" s="1"/>
  <c r="X114" i="3"/>
  <c r="W114" i="3"/>
  <c r="V114" i="3"/>
  <c r="T114" i="3"/>
  <c r="O114" i="3"/>
  <c r="G114" i="3"/>
  <c r="U114" i="3" s="1"/>
  <c r="X113" i="3"/>
  <c r="W113" i="3"/>
  <c r="V113" i="3"/>
  <c r="T113" i="3"/>
  <c r="O113" i="3"/>
  <c r="G113" i="3"/>
  <c r="U113" i="3" s="1"/>
  <c r="X112" i="3"/>
  <c r="W112" i="3"/>
  <c r="V112" i="3"/>
  <c r="T112" i="3"/>
  <c r="O112" i="3"/>
  <c r="G112" i="3"/>
  <c r="U112" i="3" s="1"/>
  <c r="X111" i="3"/>
  <c r="W111" i="3"/>
  <c r="V111" i="3"/>
  <c r="T111" i="3"/>
  <c r="O111" i="3"/>
  <c r="G111" i="3"/>
  <c r="U111" i="3" s="1"/>
  <c r="X110" i="3"/>
  <c r="W110" i="3"/>
  <c r="V110" i="3"/>
  <c r="T110" i="3"/>
  <c r="O110" i="3"/>
  <c r="G110" i="3"/>
  <c r="U110" i="3" s="1"/>
  <c r="X109" i="3"/>
  <c r="W109" i="3"/>
  <c r="V109" i="3"/>
  <c r="T109" i="3"/>
  <c r="O109" i="3"/>
  <c r="G109" i="3"/>
  <c r="U109" i="3" s="1"/>
  <c r="X108" i="3"/>
  <c r="W108" i="3"/>
  <c r="V108" i="3"/>
  <c r="T108" i="3"/>
  <c r="O108" i="3"/>
  <c r="G108" i="3"/>
  <c r="U108" i="3" s="1"/>
  <c r="X107" i="3"/>
  <c r="W107" i="3"/>
  <c r="V107" i="3"/>
  <c r="T107" i="3"/>
  <c r="O107" i="3"/>
  <c r="G107" i="3"/>
  <c r="U107" i="3" s="1"/>
  <c r="X106" i="3"/>
  <c r="W106" i="3"/>
  <c r="V106" i="3"/>
  <c r="T106" i="3"/>
  <c r="O106" i="3"/>
  <c r="G106" i="3"/>
  <c r="U106" i="3" s="1"/>
  <c r="X105" i="3"/>
  <c r="W105" i="3"/>
  <c r="V105" i="3"/>
  <c r="T105" i="3"/>
  <c r="O105" i="3"/>
  <c r="G105" i="3"/>
  <c r="U105" i="3" s="1"/>
  <c r="X104" i="3"/>
  <c r="W104" i="3"/>
  <c r="V104" i="3"/>
  <c r="T104" i="3"/>
  <c r="O104" i="3"/>
  <c r="G104" i="3"/>
  <c r="U104" i="3" s="1"/>
  <c r="X103" i="3"/>
  <c r="W103" i="3"/>
  <c r="V103" i="3"/>
  <c r="T103" i="3"/>
  <c r="O103" i="3"/>
  <c r="G103" i="3"/>
  <c r="U103" i="3" s="1"/>
  <c r="X102" i="3"/>
  <c r="W102" i="3"/>
  <c r="V102" i="3"/>
  <c r="T102" i="3"/>
  <c r="O102" i="3"/>
  <c r="G102" i="3"/>
  <c r="U102" i="3" s="1"/>
  <c r="X101" i="3"/>
  <c r="W101" i="3"/>
  <c r="V101" i="3"/>
  <c r="T101" i="3"/>
  <c r="O101" i="3"/>
  <c r="G101" i="3"/>
  <c r="U101" i="3" s="1"/>
  <c r="X100" i="3"/>
  <c r="W100" i="3"/>
  <c r="V100" i="3"/>
  <c r="T100" i="3"/>
  <c r="O100" i="3"/>
  <c r="G100" i="3"/>
  <c r="U100" i="3" s="1"/>
  <c r="X99" i="3"/>
  <c r="W99" i="3"/>
  <c r="V99" i="3"/>
  <c r="T99" i="3"/>
  <c r="O99" i="3"/>
  <c r="G99" i="3"/>
  <c r="U99" i="3" s="1"/>
  <c r="X98" i="3"/>
  <c r="W98" i="3"/>
  <c r="V98" i="3"/>
  <c r="T98" i="3"/>
  <c r="O98" i="3"/>
  <c r="G98" i="3"/>
  <c r="U98" i="3" s="1"/>
  <c r="X97" i="3"/>
  <c r="W97" i="3"/>
  <c r="V97" i="3"/>
  <c r="T97" i="3"/>
  <c r="O97" i="3"/>
  <c r="G97" i="3"/>
  <c r="U97" i="3" s="1"/>
  <c r="X96" i="3"/>
  <c r="W96" i="3"/>
  <c r="V96" i="3"/>
  <c r="T96" i="3"/>
  <c r="O96" i="3"/>
  <c r="G96" i="3"/>
  <c r="U96" i="3" s="1"/>
  <c r="X95" i="3"/>
  <c r="W95" i="3"/>
  <c r="V95" i="3"/>
  <c r="T95" i="3"/>
  <c r="O95" i="3"/>
  <c r="G95" i="3"/>
  <c r="U95" i="3" s="1"/>
  <c r="X94" i="3"/>
  <c r="W94" i="3"/>
  <c r="V94" i="3"/>
  <c r="T94" i="3"/>
  <c r="O94" i="3"/>
  <c r="G94" i="3"/>
  <c r="U94" i="3" s="1"/>
  <c r="X93" i="3"/>
  <c r="W93" i="3"/>
  <c r="V93" i="3"/>
  <c r="T93" i="3"/>
  <c r="O93" i="3"/>
  <c r="G93" i="3"/>
  <c r="U93" i="3" s="1"/>
  <c r="X92" i="3"/>
  <c r="W92" i="3"/>
  <c r="V92" i="3"/>
  <c r="T92" i="3"/>
  <c r="O92" i="3"/>
  <c r="G92" i="3"/>
  <c r="U92" i="3" s="1"/>
  <c r="X91" i="3"/>
  <c r="W91" i="3"/>
  <c r="V91" i="3"/>
  <c r="T91" i="3"/>
  <c r="O91" i="3"/>
  <c r="G91" i="3"/>
  <c r="U91" i="3" s="1"/>
  <c r="X90" i="3"/>
  <c r="W90" i="3"/>
  <c r="V90" i="3"/>
  <c r="T90" i="3"/>
  <c r="O90" i="3"/>
  <c r="G90" i="3"/>
  <c r="U90" i="3" s="1"/>
  <c r="X89" i="3"/>
  <c r="W89" i="3"/>
  <c r="V89" i="3"/>
  <c r="T89" i="3"/>
  <c r="O89" i="3"/>
  <c r="G89" i="3"/>
  <c r="U89" i="3" s="1"/>
  <c r="X88" i="3"/>
  <c r="W88" i="3"/>
  <c r="V88" i="3"/>
  <c r="T88" i="3"/>
  <c r="O88" i="3"/>
  <c r="G88" i="3"/>
  <c r="U88" i="3" s="1"/>
  <c r="X87" i="3"/>
  <c r="W87" i="3"/>
  <c r="V87" i="3"/>
  <c r="T87" i="3"/>
  <c r="O87" i="3"/>
  <c r="G87" i="3"/>
  <c r="U87" i="3" s="1"/>
  <c r="X86" i="3"/>
  <c r="W86" i="3"/>
  <c r="V86" i="3"/>
  <c r="T86" i="3"/>
  <c r="O86" i="3"/>
  <c r="G86" i="3"/>
  <c r="U86" i="3" s="1"/>
  <c r="X85" i="3"/>
  <c r="W85" i="3"/>
  <c r="V85" i="3"/>
  <c r="T85" i="3"/>
  <c r="O85" i="3"/>
  <c r="G85" i="3"/>
  <c r="U85" i="3" s="1"/>
  <c r="X84" i="3"/>
  <c r="W84" i="3"/>
  <c r="V84" i="3"/>
  <c r="T84" i="3"/>
  <c r="O84" i="3"/>
  <c r="G84" i="3"/>
  <c r="U84" i="3" s="1"/>
  <c r="X83" i="3"/>
  <c r="W83" i="3"/>
  <c r="V83" i="3"/>
  <c r="T83" i="3"/>
  <c r="O83" i="3"/>
  <c r="G83" i="3"/>
  <c r="U83" i="3" s="1"/>
  <c r="X82" i="3"/>
  <c r="W82" i="3"/>
  <c r="V82" i="3"/>
  <c r="T82" i="3"/>
  <c r="O82" i="3"/>
  <c r="G82" i="3"/>
  <c r="U82" i="3" s="1"/>
  <c r="X81" i="3"/>
  <c r="W81" i="3"/>
  <c r="V81" i="3"/>
  <c r="T81" i="3"/>
  <c r="O81" i="3"/>
  <c r="G81" i="3"/>
  <c r="U81" i="3" s="1"/>
  <c r="X80" i="3"/>
  <c r="W80" i="3"/>
  <c r="V80" i="3"/>
  <c r="T80" i="3"/>
  <c r="O80" i="3"/>
  <c r="G80" i="3"/>
  <c r="U80" i="3" s="1"/>
  <c r="X79" i="3"/>
  <c r="W79" i="3"/>
  <c r="V79" i="3"/>
  <c r="T79" i="3"/>
  <c r="O79" i="3"/>
  <c r="G79" i="3"/>
  <c r="U79" i="3" s="1"/>
  <c r="X78" i="3"/>
  <c r="W78" i="3"/>
  <c r="V78" i="3"/>
  <c r="T78" i="3"/>
  <c r="O78" i="3"/>
  <c r="G78" i="3"/>
  <c r="U78" i="3" s="1"/>
  <c r="X77" i="3"/>
  <c r="W77" i="3"/>
  <c r="V77" i="3"/>
  <c r="T77" i="3"/>
  <c r="O77" i="3"/>
  <c r="G77" i="3"/>
  <c r="U77" i="3" s="1"/>
  <c r="X76" i="3"/>
  <c r="W76" i="3"/>
  <c r="V76" i="3"/>
  <c r="T76" i="3"/>
  <c r="O76" i="3"/>
  <c r="G76" i="3"/>
  <c r="U76" i="3" s="1"/>
  <c r="X75" i="3"/>
  <c r="W75" i="3"/>
  <c r="V75" i="3"/>
  <c r="T75" i="3"/>
  <c r="O75" i="3"/>
  <c r="G75" i="3"/>
  <c r="U75" i="3" s="1"/>
  <c r="X74" i="3"/>
  <c r="W74" i="3"/>
  <c r="V74" i="3"/>
  <c r="T74" i="3"/>
  <c r="O74" i="3"/>
  <c r="G74" i="3"/>
  <c r="U74" i="3" s="1"/>
  <c r="X73" i="3"/>
  <c r="W73" i="3"/>
  <c r="V73" i="3"/>
  <c r="T73" i="3"/>
  <c r="O73" i="3"/>
  <c r="G73" i="3"/>
  <c r="U73" i="3" s="1"/>
  <c r="X72" i="3"/>
  <c r="W72" i="3"/>
  <c r="V72" i="3"/>
  <c r="T72" i="3"/>
  <c r="O72" i="3"/>
  <c r="G72" i="3"/>
  <c r="U72" i="3" s="1"/>
  <c r="X71" i="3"/>
  <c r="W71" i="3"/>
  <c r="V71" i="3"/>
  <c r="T71" i="3"/>
  <c r="O71" i="3"/>
  <c r="G71" i="3"/>
  <c r="U71" i="3" s="1"/>
  <c r="X70" i="3"/>
  <c r="W70" i="3"/>
  <c r="V70" i="3"/>
  <c r="T70" i="3"/>
  <c r="O70" i="3"/>
  <c r="G70" i="3"/>
  <c r="U70" i="3" s="1"/>
  <c r="X69" i="3"/>
  <c r="W69" i="3"/>
  <c r="V69" i="3"/>
  <c r="T69" i="3"/>
  <c r="O69" i="3"/>
  <c r="G69" i="3"/>
  <c r="U69" i="3" s="1"/>
  <c r="X68" i="3"/>
  <c r="W68" i="3"/>
  <c r="V68" i="3"/>
  <c r="T68" i="3"/>
  <c r="O68" i="3"/>
  <c r="G68" i="3"/>
  <c r="U68" i="3" s="1"/>
  <c r="X67" i="3"/>
  <c r="W67" i="3"/>
  <c r="V67" i="3"/>
  <c r="T67" i="3"/>
  <c r="O67" i="3"/>
  <c r="G67" i="3"/>
  <c r="U67" i="3" s="1"/>
  <c r="X66" i="3"/>
  <c r="W66" i="3"/>
  <c r="V66" i="3"/>
  <c r="T66" i="3"/>
  <c r="O66" i="3"/>
  <c r="G66" i="3"/>
  <c r="U66" i="3" s="1"/>
  <c r="X65" i="3"/>
  <c r="W65" i="3"/>
  <c r="V65" i="3"/>
  <c r="T65" i="3"/>
  <c r="O65" i="3"/>
  <c r="G65" i="3"/>
  <c r="U65" i="3" s="1"/>
  <c r="X64" i="3"/>
  <c r="W64" i="3"/>
  <c r="V64" i="3"/>
  <c r="T64" i="3"/>
  <c r="O64" i="3"/>
  <c r="G64" i="3"/>
  <c r="U64" i="3" s="1"/>
  <c r="X63" i="3"/>
  <c r="W63" i="3"/>
  <c r="V63" i="3"/>
  <c r="T63" i="3"/>
  <c r="O63" i="3"/>
  <c r="G63" i="3"/>
  <c r="U63" i="3" s="1"/>
  <c r="X62" i="3"/>
  <c r="W62" i="3"/>
  <c r="V62" i="3"/>
  <c r="T62" i="3"/>
  <c r="O62" i="3"/>
  <c r="G62" i="3"/>
  <c r="U62" i="3" s="1"/>
  <c r="X61" i="3"/>
  <c r="W61" i="3"/>
  <c r="V61" i="3"/>
  <c r="T61" i="3"/>
  <c r="O61" i="3"/>
  <c r="G61" i="3"/>
  <c r="U61" i="3" s="1"/>
  <c r="X60" i="3"/>
  <c r="W60" i="3"/>
  <c r="V60" i="3"/>
  <c r="T60" i="3"/>
  <c r="O60" i="3"/>
  <c r="G60" i="3"/>
  <c r="U60" i="3" s="1"/>
  <c r="X59" i="3"/>
  <c r="W59" i="3"/>
  <c r="V59" i="3"/>
  <c r="T59" i="3"/>
  <c r="O59" i="3"/>
  <c r="G59" i="3"/>
  <c r="U59" i="3" s="1"/>
  <c r="X58" i="3"/>
  <c r="W58" i="3"/>
  <c r="V58" i="3"/>
  <c r="T58" i="3"/>
  <c r="O58" i="3"/>
  <c r="G58" i="3"/>
  <c r="U58" i="3" s="1"/>
  <c r="X57" i="3"/>
  <c r="W57" i="3"/>
  <c r="V57" i="3"/>
  <c r="T57" i="3"/>
  <c r="O57" i="3"/>
  <c r="G57" i="3"/>
  <c r="U57" i="3" s="1"/>
  <c r="X56" i="3"/>
  <c r="W56" i="3"/>
  <c r="V56" i="3"/>
  <c r="T56" i="3"/>
  <c r="O56" i="3"/>
  <c r="G56" i="3"/>
  <c r="U56" i="3" s="1"/>
  <c r="X55" i="3"/>
  <c r="W55" i="3"/>
  <c r="V55" i="3"/>
  <c r="T55" i="3"/>
  <c r="O55" i="3"/>
  <c r="G55" i="3"/>
  <c r="U55" i="3" s="1"/>
  <c r="X54" i="3"/>
  <c r="W54" i="3"/>
  <c r="V54" i="3"/>
  <c r="T54" i="3"/>
  <c r="O54" i="3"/>
  <c r="G54" i="3"/>
  <c r="U54" i="3" s="1"/>
  <c r="X53" i="3"/>
  <c r="W53" i="3"/>
  <c r="V53" i="3"/>
  <c r="T53" i="3"/>
  <c r="O53" i="3"/>
  <c r="G53" i="3"/>
  <c r="U53" i="3" s="1"/>
  <c r="X52" i="3"/>
  <c r="W52" i="3"/>
  <c r="V52" i="3"/>
  <c r="T52" i="3"/>
  <c r="O52" i="3"/>
  <c r="G52" i="3"/>
  <c r="U52" i="3" s="1"/>
  <c r="X51" i="3"/>
  <c r="W51" i="3"/>
  <c r="V51" i="3"/>
  <c r="T51" i="3"/>
  <c r="O51" i="3"/>
  <c r="G51" i="3"/>
  <c r="U51" i="3" s="1"/>
  <c r="X50" i="3"/>
  <c r="W50" i="3"/>
  <c r="V50" i="3"/>
  <c r="T50" i="3"/>
  <c r="O50" i="3"/>
  <c r="G50" i="3"/>
  <c r="U50" i="3" s="1"/>
  <c r="X49" i="3"/>
  <c r="W49" i="3"/>
  <c r="V49" i="3"/>
  <c r="T49" i="3"/>
  <c r="O49" i="3"/>
  <c r="G49" i="3"/>
  <c r="U49" i="3" s="1"/>
  <c r="X48" i="3"/>
  <c r="W48" i="3"/>
  <c r="V48" i="3"/>
  <c r="T48" i="3"/>
  <c r="O48" i="3"/>
  <c r="G48" i="3"/>
  <c r="U48" i="3" s="1"/>
  <c r="X47" i="3"/>
  <c r="W47" i="3"/>
  <c r="V47" i="3"/>
  <c r="T47" i="3"/>
  <c r="O47" i="3"/>
  <c r="G47" i="3"/>
  <c r="U47" i="3" s="1"/>
  <c r="X46" i="3"/>
  <c r="W46" i="3"/>
  <c r="V46" i="3"/>
  <c r="T46" i="3"/>
  <c r="O46" i="3"/>
  <c r="G46" i="3"/>
  <c r="U46" i="3" s="1"/>
  <c r="X45" i="3"/>
  <c r="W45" i="3"/>
  <c r="V45" i="3"/>
  <c r="T45" i="3"/>
  <c r="O45" i="3"/>
  <c r="G45" i="3"/>
  <c r="U45" i="3" s="1"/>
  <c r="X44" i="3"/>
  <c r="W44" i="3"/>
  <c r="V44" i="3"/>
  <c r="T44" i="3"/>
  <c r="O44" i="3"/>
  <c r="G44" i="3"/>
  <c r="U44" i="3" s="1"/>
  <c r="X43" i="3"/>
  <c r="W43" i="3"/>
  <c r="V43" i="3"/>
  <c r="T43" i="3"/>
  <c r="O43" i="3"/>
  <c r="G43" i="3"/>
  <c r="U43" i="3" s="1"/>
  <c r="X42" i="3"/>
  <c r="W42" i="3"/>
  <c r="V42" i="3"/>
  <c r="T42" i="3"/>
  <c r="O42" i="3"/>
  <c r="G42" i="3"/>
  <c r="U42" i="3" s="1"/>
  <c r="X41" i="3"/>
  <c r="W41" i="3"/>
  <c r="V41" i="3"/>
  <c r="T41" i="3"/>
  <c r="O41" i="3"/>
  <c r="G41" i="3"/>
  <c r="U41" i="3" s="1"/>
  <c r="X40" i="3"/>
  <c r="W40" i="3"/>
  <c r="V40" i="3"/>
  <c r="T40" i="3"/>
  <c r="O40" i="3"/>
  <c r="G40" i="3"/>
  <c r="U40" i="3" s="1"/>
  <c r="X39" i="3"/>
  <c r="W39" i="3"/>
  <c r="V39" i="3"/>
  <c r="T39" i="3"/>
  <c r="O39" i="3"/>
  <c r="G39" i="3"/>
  <c r="U39" i="3" s="1"/>
  <c r="X38" i="3"/>
  <c r="W38" i="3"/>
  <c r="V38" i="3"/>
  <c r="T38" i="3"/>
  <c r="O38" i="3"/>
  <c r="G38" i="3"/>
  <c r="U38" i="3" s="1"/>
  <c r="X37" i="3"/>
  <c r="W37" i="3"/>
  <c r="V37" i="3"/>
  <c r="T37" i="3"/>
  <c r="O37" i="3"/>
  <c r="G37" i="3"/>
  <c r="U37" i="3" s="1"/>
  <c r="X36" i="3"/>
  <c r="W36" i="3"/>
  <c r="V36" i="3"/>
  <c r="T36" i="3"/>
  <c r="O36" i="3"/>
  <c r="G36" i="3"/>
  <c r="U36" i="3" s="1"/>
  <c r="X35" i="3"/>
  <c r="W35" i="3"/>
  <c r="V35" i="3"/>
  <c r="T35" i="3"/>
  <c r="O35" i="3"/>
  <c r="G35" i="3"/>
  <c r="U35" i="3" s="1"/>
  <c r="X34" i="3"/>
  <c r="W34" i="3"/>
  <c r="V34" i="3"/>
  <c r="T34" i="3"/>
  <c r="O34" i="3"/>
  <c r="G34" i="3"/>
  <c r="U34" i="3" s="1"/>
  <c r="X33" i="3"/>
  <c r="W33" i="3"/>
  <c r="V33" i="3"/>
  <c r="T33" i="3"/>
  <c r="O33" i="3"/>
  <c r="G33" i="3"/>
  <c r="U33" i="3" s="1"/>
  <c r="X32" i="3"/>
  <c r="W32" i="3"/>
  <c r="V32" i="3"/>
  <c r="T32" i="3"/>
  <c r="O32" i="3"/>
  <c r="G32" i="3"/>
  <c r="U32" i="3" s="1"/>
  <c r="X31" i="3"/>
  <c r="W31" i="3"/>
  <c r="V31" i="3"/>
  <c r="T31" i="3"/>
  <c r="O31" i="3"/>
  <c r="G31" i="3"/>
  <c r="U31" i="3" s="1"/>
  <c r="X30" i="3"/>
  <c r="W30" i="3"/>
  <c r="V30" i="3"/>
  <c r="T30" i="3"/>
  <c r="O30" i="3"/>
  <c r="G30" i="3"/>
  <c r="U30" i="3" s="1"/>
  <c r="X29" i="3"/>
  <c r="W29" i="3"/>
  <c r="V29" i="3"/>
  <c r="T29" i="3"/>
  <c r="O29" i="3"/>
  <c r="G29" i="3"/>
  <c r="U29" i="3" s="1"/>
  <c r="X28" i="3"/>
  <c r="W28" i="3"/>
  <c r="V28" i="3"/>
  <c r="T28" i="3"/>
  <c r="O28" i="3"/>
  <c r="G28" i="3"/>
  <c r="U28" i="3" s="1"/>
  <c r="X27" i="3"/>
  <c r="W27" i="3"/>
  <c r="V27" i="3"/>
  <c r="T27" i="3"/>
  <c r="O27" i="3"/>
  <c r="G27" i="3"/>
  <c r="U27" i="3" s="1"/>
  <c r="X26" i="3"/>
  <c r="W26" i="3"/>
  <c r="V26" i="3"/>
  <c r="T26" i="3"/>
  <c r="O26" i="3"/>
  <c r="G26" i="3"/>
  <c r="U26" i="3" s="1"/>
  <c r="X25" i="3"/>
  <c r="W25" i="3"/>
  <c r="V25" i="3"/>
  <c r="T25" i="3"/>
  <c r="O25" i="3"/>
  <c r="G25" i="3"/>
  <c r="U25" i="3" s="1"/>
  <c r="X24" i="3"/>
  <c r="W24" i="3"/>
  <c r="V24" i="3"/>
  <c r="T24" i="3"/>
  <c r="O24" i="3"/>
  <c r="G24" i="3"/>
  <c r="U24" i="3" s="1"/>
  <c r="X23" i="3"/>
  <c r="W23" i="3"/>
  <c r="V23" i="3"/>
  <c r="T23" i="3"/>
  <c r="O23" i="3"/>
  <c r="G23" i="3"/>
  <c r="U23" i="3" s="1"/>
  <c r="X22" i="3"/>
  <c r="W22" i="3"/>
  <c r="V22" i="3"/>
  <c r="T22" i="3"/>
  <c r="O22" i="3"/>
  <c r="G22" i="3"/>
  <c r="U22" i="3" s="1"/>
  <c r="X21" i="3"/>
  <c r="W21" i="3"/>
  <c r="V21" i="3"/>
  <c r="T21" i="3"/>
  <c r="O21" i="3"/>
  <c r="G21" i="3"/>
  <c r="U21" i="3" s="1"/>
  <c r="X20" i="3"/>
  <c r="W20" i="3"/>
  <c r="V20" i="3"/>
  <c r="T20" i="3"/>
  <c r="O20" i="3"/>
  <c r="G20" i="3"/>
  <c r="U20" i="3" s="1"/>
  <c r="X19" i="3"/>
  <c r="W19" i="3"/>
  <c r="V19" i="3"/>
  <c r="T19" i="3"/>
  <c r="O19" i="3"/>
  <c r="G19" i="3"/>
  <c r="U19" i="3" s="1"/>
  <c r="X18" i="3"/>
  <c r="W18" i="3"/>
  <c r="V18" i="3"/>
  <c r="T18" i="3"/>
  <c r="O18" i="3"/>
  <c r="G18" i="3"/>
  <c r="U18" i="3" s="1"/>
  <c r="X17" i="3"/>
  <c r="W17" i="3"/>
  <c r="V17" i="3"/>
  <c r="T17" i="3"/>
  <c r="O17" i="3"/>
  <c r="G17" i="3"/>
  <c r="U17" i="3" s="1"/>
  <c r="X16" i="3"/>
  <c r="W16" i="3"/>
  <c r="V16" i="3"/>
  <c r="T16" i="3"/>
  <c r="O16" i="3"/>
  <c r="G16" i="3"/>
  <c r="U16" i="3" s="1"/>
  <c r="X15" i="3"/>
  <c r="W15" i="3"/>
  <c r="V15" i="3"/>
  <c r="T15" i="3"/>
  <c r="O15" i="3"/>
  <c r="G15" i="3"/>
  <c r="U15" i="3" s="1"/>
  <c r="X14" i="3"/>
  <c r="W14" i="3"/>
  <c r="V14" i="3"/>
  <c r="T14" i="3"/>
  <c r="O14" i="3"/>
  <c r="G14" i="3"/>
  <c r="U14" i="3" s="1"/>
  <c r="X13" i="3"/>
  <c r="W13" i="3"/>
  <c r="V13" i="3"/>
  <c r="T13" i="3"/>
  <c r="O13" i="3"/>
  <c r="G13" i="3"/>
  <c r="U13" i="3" s="1"/>
  <c r="X12" i="3"/>
  <c r="W12" i="3"/>
  <c r="V12" i="3"/>
  <c r="T12" i="3"/>
  <c r="O12" i="3"/>
  <c r="G12" i="3"/>
  <c r="U12" i="3" s="1"/>
  <c r="X11" i="3"/>
  <c r="W11" i="3"/>
  <c r="V11" i="3"/>
  <c r="T11" i="3"/>
  <c r="O11" i="3"/>
  <c r="G11" i="3"/>
  <c r="U11" i="3" s="1"/>
  <c r="X10" i="3"/>
  <c r="W10" i="3"/>
  <c r="V10" i="3"/>
  <c r="T10" i="3"/>
  <c r="O10" i="3"/>
  <c r="G10" i="3"/>
  <c r="U10" i="3" s="1"/>
  <c r="X9" i="3"/>
  <c r="W9" i="3"/>
  <c r="V9" i="3"/>
  <c r="T9" i="3"/>
  <c r="O9" i="3"/>
  <c r="G9" i="3"/>
  <c r="U9" i="3" s="1"/>
  <c r="X8" i="3"/>
  <c r="W8" i="3"/>
  <c r="V8" i="3"/>
  <c r="T8" i="3"/>
  <c r="O8" i="3"/>
  <c r="G8" i="3"/>
  <c r="U8" i="3" s="1"/>
  <c r="X7" i="3"/>
  <c r="W7" i="3"/>
  <c r="V7" i="3"/>
  <c r="T7" i="3"/>
  <c r="O7" i="3"/>
  <c r="G7" i="3"/>
  <c r="U7" i="3" s="1"/>
  <c r="X6" i="3"/>
  <c r="W6" i="3"/>
  <c r="V6" i="3"/>
  <c r="T6" i="3"/>
  <c r="O6" i="3"/>
  <c r="G6" i="3"/>
  <c r="U6" i="3" s="1"/>
  <c r="X5" i="3"/>
  <c r="W5" i="3"/>
  <c r="V5" i="3"/>
  <c r="T5" i="3"/>
  <c r="O5" i="3"/>
  <c r="G5" i="3"/>
  <c r="U5" i="3" s="1"/>
  <c r="B41" i="1"/>
  <c r="D31" i="1"/>
  <c r="D30" i="1"/>
  <c r="B12" i="1"/>
  <c r="B11" i="1"/>
  <c r="B10" i="1"/>
  <c r="F10" i="1" s="1"/>
  <c r="B9" i="1"/>
  <c r="F9" i="1" s="1"/>
  <c r="B8" i="1"/>
  <c r="F8" i="1" s="1"/>
  <c r="B7" i="1"/>
  <c r="F7" i="1" s="1"/>
  <c r="B6" i="1"/>
  <c r="F6" i="1" s="1"/>
  <c r="J156" i="5" l="1"/>
  <c r="J155" i="5"/>
  <c r="Y18" i="4"/>
  <c r="Y25" i="4"/>
  <c r="Y24" i="4"/>
  <c r="Y17" i="4"/>
  <c r="J148" i="5"/>
  <c r="J147" i="5"/>
  <c r="J146" i="5"/>
  <c r="Y22" i="4"/>
  <c r="Y21" i="4"/>
  <c r="Y20" i="4"/>
  <c r="Y19" i="4"/>
  <c r="Y13" i="4"/>
  <c r="J96" i="5"/>
  <c r="J95" i="5"/>
  <c r="J94" i="5"/>
  <c r="Y23" i="4"/>
  <c r="Y15" i="4"/>
  <c r="Y11" i="4"/>
  <c r="Y14" i="4"/>
  <c r="Y12" i="4"/>
  <c r="Y10" i="4"/>
  <c r="O115" i="6"/>
  <c r="J163" i="5"/>
  <c r="J157" i="5"/>
  <c r="J154" i="5"/>
  <c r="Y102" i="4"/>
  <c r="Y94" i="4"/>
  <c r="Y86" i="4"/>
  <c r="Y70" i="4"/>
  <c r="Y69" i="4"/>
  <c r="Y60" i="4"/>
  <c r="Y34" i="4"/>
  <c r="Y26" i="4"/>
  <c r="J162" i="5"/>
  <c r="J161" i="5"/>
  <c r="J159" i="5"/>
  <c r="Y98" i="4"/>
  <c r="Y97" i="4"/>
  <c r="Y67" i="4"/>
  <c r="Y41" i="4"/>
  <c r="Y85" i="4"/>
  <c r="Y84" i="4"/>
  <c r="Y83" i="4"/>
  <c r="Y82" i="4"/>
  <c r="Y65" i="4"/>
  <c r="Y30" i="4"/>
  <c r="J145" i="5"/>
  <c r="J144" i="5"/>
  <c r="J143" i="5"/>
  <c r="J142" i="5"/>
  <c r="J141" i="5"/>
  <c r="J140" i="5"/>
  <c r="J139" i="5"/>
  <c r="J138" i="5"/>
  <c r="Y87" i="4"/>
  <c r="Y78" i="4"/>
  <c r="Y77" i="4"/>
  <c r="Y68" i="4"/>
  <c r="Y59" i="4"/>
  <c r="Y39" i="4"/>
  <c r="Y37" i="4"/>
  <c r="Y36" i="4"/>
  <c r="Y35" i="4"/>
  <c r="Y27" i="4"/>
  <c r="J93" i="5"/>
  <c r="J92" i="5"/>
  <c r="J91" i="5"/>
  <c r="J90" i="5"/>
  <c r="J89" i="5"/>
  <c r="J88" i="5"/>
  <c r="J87" i="5"/>
  <c r="J86" i="5"/>
  <c r="J85" i="5"/>
  <c r="J84" i="5"/>
  <c r="J83" i="5"/>
  <c r="J82" i="5"/>
  <c r="J81" i="5"/>
  <c r="J80" i="5"/>
  <c r="J79" i="5"/>
  <c r="J78" i="5"/>
  <c r="J77" i="5"/>
  <c r="J76" i="5"/>
  <c r="J75" i="5"/>
  <c r="J74" i="5"/>
  <c r="J73" i="5"/>
  <c r="J72" i="5"/>
  <c r="Y105" i="4"/>
  <c r="Y104" i="4"/>
  <c r="Y103" i="4"/>
  <c r="Y96" i="4"/>
  <c r="Y95" i="4"/>
  <c r="Y88" i="4"/>
  <c r="Y79" i="4"/>
  <c r="Y58" i="4"/>
  <c r="Y57" i="4"/>
  <c r="Y32" i="4"/>
  <c r="Y31" i="4"/>
  <c r="J45" i="5"/>
  <c r="J44" i="5"/>
  <c r="J43" i="5"/>
  <c r="J42" i="5"/>
  <c r="J41" i="5"/>
  <c r="J40" i="5"/>
  <c r="L40" i="5" s="1"/>
  <c r="J39" i="5"/>
  <c r="J38" i="5"/>
  <c r="J37" i="5"/>
  <c r="J36" i="5"/>
  <c r="J35" i="5"/>
  <c r="J34" i="5"/>
  <c r="J33" i="5"/>
  <c r="J32" i="5"/>
  <c r="J31" i="5"/>
  <c r="J30" i="5"/>
  <c r="J29" i="5"/>
  <c r="J28" i="5"/>
  <c r="J27" i="5"/>
  <c r="J26" i="5"/>
  <c r="J25" i="5"/>
  <c r="J24" i="5"/>
  <c r="J23" i="5"/>
  <c r="J22" i="5"/>
  <c r="J21" i="5"/>
  <c r="J20" i="5"/>
  <c r="J19" i="5"/>
  <c r="J18" i="5"/>
  <c r="J17" i="5"/>
  <c r="J16" i="5"/>
  <c r="J15" i="5"/>
  <c r="J14" i="5"/>
  <c r="J13" i="5"/>
  <c r="J12" i="5"/>
  <c r="J11" i="5"/>
  <c r="J10" i="5"/>
  <c r="J9" i="5"/>
  <c r="J8" i="5"/>
  <c r="J7" i="5"/>
  <c r="J6" i="5"/>
  <c r="J5" i="5"/>
  <c r="Y74" i="4"/>
  <c r="Y101" i="4"/>
  <c r="Y100" i="4"/>
  <c r="Y99" i="4"/>
  <c r="Y61" i="4"/>
  <c r="Y43" i="4"/>
  <c r="Y42" i="4"/>
  <c r="Y33" i="4"/>
  <c r="Y90" i="4"/>
  <c r="Y89" i="4"/>
  <c r="Y81" i="4"/>
  <c r="Y80" i="4"/>
  <c r="Y73" i="4"/>
  <c r="Y72" i="4"/>
  <c r="Y71" i="4"/>
  <c r="Y56" i="4"/>
  <c r="Y40" i="4"/>
  <c r="Y38" i="4"/>
  <c r="Y29" i="4"/>
  <c r="Y28" i="4"/>
  <c r="Y93" i="4"/>
  <c r="Y92" i="4"/>
  <c r="Y91" i="4"/>
  <c r="Y76" i="4"/>
  <c r="Y75" i="4"/>
  <c r="Y66" i="4"/>
  <c r="Y64" i="4"/>
  <c r="Y63" i="4"/>
  <c r="Y62" i="4"/>
  <c r="Y44" i="4"/>
  <c r="J105" i="6"/>
  <c r="AA105" i="4"/>
  <c r="AA104" i="4"/>
  <c r="J104" i="6"/>
  <c r="AA22" i="4"/>
  <c r="J22" i="6"/>
  <c r="AA21" i="4"/>
  <c r="J21" i="6"/>
  <c r="AA20" i="4"/>
  <c r="J20" i="6"/>
  <c r="AA19" i="4"/>
  <c r="J19" i="6"/>
  <c r="AA18" i="4"/>
  <c r="J18" i="6"/>
  <c r="AA17" i="4"/>
  <c r="J17" i="6"/>
  <c r="AA16" i="4"/>
  <c r="J16" i="6"/>
  <c r="Q164" i="6"/>
  <c r="V164" i="6"/>
  <c r="R164" i="6"/>
  <c r="T164" i="6"/>
  <c r="V163" i="6"/>
  <c r="Q163" i="6"/>
  <c r="R163" i="6"/>
  <c r="T163" i="6"/>
  <c r="V162" i="6"/>
  <c r="Q162" i="6"/>
  <c r="R162" i="6"/>
  <c r="T162" i="6"/>
  <c r="Q161" i="6"/>
  <c r="V161" i="6"/>
  <c r="T161" i="6"/>
  <c r="R161" i="6"/>
  <c r="Q160" i="6"/>
  <c r="V160" i="6"/>
  <c r="R160" i="6"/>
  <c r="T160" i="6"/>
  <c r="Q159" i="6"/>
  <c r="V159" i="6"/>
  <c r="R159" i="6"/>
  <c r="T159" i="6"/>
  <c r="Q158" i="6"/>
  <c r="V158" i="6"/>
  <c r="T158" i="6"/>
  <c r="R158" i="6"/>
  <c r="V157" i="6"/>
  <c r="Q157" i="6"/>
  <c r="T157" i="6"/>
  <c r="R157" i="6"/>
  <c r="V156" i="6"/>
  <c r="Q156" i="6"/>
  <c r="T156" i="6"/>
  <c r="R156" i="6"/>
  <c r="Q155" i="6"/>
  <c r="V155" i="6"/>
  <c r="R155" i="6"/>
  <c r="T155" i="6"/>
  <c r="V154" i="6"/>
  <c r="Q154" i="6"/>
  <c r="T154" i="6"/>
  <c r="R154" i="6"/>
  <c r="Q153" i="6"/>
  <c r="V153" i="6"/>
  <c r="T153" i="6"/>
  <c r="R153" i="6"/>
  <c r="Q152" i="6"/>
  <c r="V152" i="6"/>
  <c r="R152" i="6"/>
  <c r="T152" i="6"/>
  <c r="Q151" i="6"/>
  <c r="V151" i="6"/>
  <c r="R151" i="6"/>
  <c r="T151" i="6"/>
  <c r="V150" i="6"/>
  <c r="Q150" i="6"/>
  <c r="X150" i="6"/>
  <c r="R150" i="6"/>
  <c r="S150" i="6" s="1"/>
  <c r="U150" i="6" s="1"/>
  <c r="T150" i="6"/>
  <c r="V149" i="6"/>
  <c r="Q149" i="6"/>
  <c r="T149" i="6"/>
  <c r="R149" i="6"/>
  <c r="Q148" i="6"/>
  <c r="V148" i="6"/>
  <c r="T148" i="6"/>
  <c r="R148" i="6"/>
  <c r="Q147" i="6"/>
  <c r="V147" i="6"/>
  <c r="T147" i="6"/>
  <c r="R147" i="6"/>
  <c r="V146" i="6"/>
  <c r="Q146" i="6"/>
  <c r="R146" i="6"/>
  <c r="T146" i="6"/>
  <c r="Q145" i="6"/>
  <c r="V145" i="6"/>
  <c r="R145" i="6"/>
  <c r="T145" i="6"/>
  <c r="V144" i="6"/>
  <c r="Q144" i="6"/>
  <c r="R144" i="6"/>
  <c r="T144" i="6"/>
  <c r="V143" i="6"/>
  <c r="Q143" i="6"/>
  <c r="R143" i="6"/>
  <c r="T143" i="6"/>
  <c r="Q142" i="6"/>
  <c r="V142" i="6"/>
  <c r="R142" i="6"/>
  <c r="T142" i="6"/>
  <c r="V141" i="6"/>
  <c r="Q141" i="6"/>
  <c r="R141" i="6"/>
  <c r="T141" i="6"/>
  <c r="Q140" i="6"/>
  <c r="V140" i="6"/>
  <c r="R140" i="6"/>
  <c r="T140" i="6"/>
  <c r="V139" i="6"/>
  <c r="Q139" i="6"/>
  <c r="R139" i="6"/>
  <c r="T139" i="6"/>
  <c r="V138" i="6"/>
  <c r="Q138" i="6"/>
  <c r="R138" i="6" s="1"/>
  <c r="T138" i="6"/>
  <c r="V137" i="6"/>
  <c r="Q137" i="6"/>
  <c r="R137" i="6"/>
  <c r="T137" i="6"/>
  <c r="X136" i="6"/>
  <c r="Q136" i="6"/>
  <c r="V136" i="6"/>
  <c r="R136" i="6"/>
  <c r="S136" i="6" s="1"/>
  <c r="U136" i="6" s="1"/>
  <c r="T136" i="6"/>
  <c r="X135" i="6"/>
  <c r="V135" i="6"/>
  <c r="Q135" i="6"/>
  <c r="T135" i="6"/>
  <c r="R135" i="6"/>
  <c r="S135" i="6" s="1"/>
  <c r="U135" i="6" s="1"/>
  <c r="Q134" i="6"/>
  <c r="V134" i="6"/>
  <c r="X134" i="6"/>
  <c r="R134" i="6"/>
  <c r="S134" i="6" s="1"/>
  <c r="U134" i="6" s="1"/>
  <c r="T134" i="6"/>
  <c r="V133" i="6"/>
  <c r="Q133" i="6"/>
  <c r="R133" i="6"/>
  <c r="T133" i="6"/>
  <c r="V132" i="6"/>
  <c r="Q132" i="6"/>
  <c r="X132" i="6"/>
  <c r="T132" i="6"/>
  <c r="R132" i="6"/>
  <c r="S132" i="6" s="1"/>
  <c r="U132" i="6" s="1"/>
  <c r="Q131" i="6"/>
  <c r="V131" i="6"/>
  <c r="T131" i="6"/>
  <c r="R131" i="6"/>
  <c r="Q130" i="6"/>
  <c r="X130" i="6"/>
  <c r="V130" i="6"/>
  <c r="R130" i="6"/>
  <c r="S130" i="6" s="1"/>
  <c r="U130" i="6" s="1"/>
  <c r="T130" i="6"/>
  <c r="V129" i="6"/>
  <c r="Q129" i="6"/>
  <c r="T129" i="6"/>
  <c r="R129" i="6"/>
  <c r="Q128" i="6"/>
  <c r="V128" i="6"/>
  <c r="T128" i="6"/>
  <c r="R128" i="6"/>
  <c r="V127" i="6"/>
  <c r="Q127" i="6"/>
  <c r="R127" i="6"/>
  <c r="T127" i="6"/>
  <c r="Q126" i="6"/>
  <c r="V126" i="6"/>
  <c r="T126" i="6"/>
  <c r="R126" i="6"/>
  <c r="V125" i="6"/>
  <c r="Q125" i="6"/>
  <c r="R125" i="6"/>
  <c r="T125" i="6"/>
  <c r="V124" i="6"/>
  <c r="Q124" i="6"/>
  <c r="X124" i="6"/>
  <c r="R124" i="6"/>
  <c r="S124" i="6" s="1"/>
  <c r="U124" i="6" s="1"/>
  <c r="T124" i="6"/>
  <c r="X123" i="6"/>
  <c r="V123" i="6"/>
  <c r="Q123" i="6"/>
  <c r="R123" i="6"/>
  <c r="S123" i="6" s="1"/>
  <c r="U123" i="6" s="1"/>
  <c r="T123" i="6"/>
  <c r="V122" i="6"/>
  <c r="X122" i="6"/>
  <c r="Q122" i="6"/>
  <c r="R122" i="6"/>
  <c r="S122" i="6" s="1"/>
  <c r="U122" i="6" s="1"/>
  <c r="T122" i="6"/>
  <c r="Q121" i="6"/>
  <c r="V121" i="6"/>
  <c r="R121" i="6"/>
  <c r="T121" i="6"/>
  <c r="Q120" i="6"/>
  <c r="V120" i="6"/>
  <c r="R120" i="6"/>
  <c r="T120" i="6"/>
  <c r="Q119" i="6"/>
  <c r="V119" i="6"/>
  <c r="T119" i="6"/>
  <c r="R119" i="6"/>
  <c r="V118" i="6"/>
  <c r="Q118" i="6"/>
  <c r="T118" i="6"/>
  <c r="R118" i="6"/>
  <c r="Q117" i="6"/>
  <c r="V117" i="6"/>
  <c r="R117" i="6"/>
  <c r="T117" i="6"/>
  <c r="X116" i="6"/>
  <c r="V116" i="6"/>
  <c r="Q116" i="6"/>
  <c r="R116" i="6"/>
  <c r="S116" i="6" s="1"/>
  <c r="U116" i="6" s="1"/>
  <c r="T116" i="6"/>
  <c r="V115" i="6"/>
  <c r="Q115" i="6"/>
  <c r="R115" i="6"/>
  <c r="T115" i="6"/>
  <c r="Q114" i="6"/>
  <c r="V114" i="6"/>
  <c r="R114" i="6"/>
  <c r="T114" i="6"/>
  <c r="V113" i="6"/>
  <c r="Q113" i="6"/>
  <c r="R113" i="6"/>
  <c r="T113" i="6"/>
  <c r="Q112" i="6"/>
  <c r="V112" i="6"/>
  <c r="R112" i="6"/>
  <c r="T112" i="6"/>
  <c r="V111" i="6"/>
  <c r="Q111" i="6"/>
  <c r="R111" i="6"/>
  <c r="T111" i="6"/>
  <c r="V110" i="6"/>
  <c r="Q110" i="6"/>
  <c r="R110" i="6"/>
  <c r="T110" i="6"/>
  <c r="V109" i="6"/>
  <c r="Q109" i="6"/>
  <c r="R109" i="6"/>
  <c r="T109" i="6"/>
  <c r="Q108" i="6"/>
  <c r="V108" i="6"/>
  <c r="R108" i="6"/>
  <c r="T108" i="6"/>
  <c r="X107" i="6"/>
  <c r="V107" i="6"/>
  <c r="Q107" i="6"/>
  <c r="R107" i="6"/>
  <c r="S107" i="6" s="1"/>
  <c r="U107" i="6" s="1"/>
  <c r="T107" i="6"/>
  <c r="Q106" i="6"/>
  <c r="V106" i="6"/>
  <c r="R106" i="6"/>
  <c r="T106" i="6"/>
  <c r="Q105" i="6"/>
  <c r="V105" i="6"/>
  <c r="R105" i="6"/>
  <c r="T105" i="6"/>
  <c r="Q104" i="6"/>
  <c r="V104" i="6"/>
  <c r="R104" i="6"/>
  <c r="T104" i="6"/>
  <c r="V103" i="6"/>
  <c r="Q103" i="6"/>
  <c r="R103" i="6"/>
  <c r="T103" i="6"/>
  <c r="V102" i="6"/>
  <c r="Q102" i="6"/>
  <c r="R102" i="6"/>
  <c r="T102" i="6"/>
  <c r="X101" i="6"/>
  <c r="V101" i="6"/>
  <c r="Q101" i="6"/>
  <c r="R101" i="6"/>
  <c r="S101" i="6" s="1"/>
  <c r="U101" i="6" s="1"/>
  <c r="T101" i="6"/>
  <c r="V100" i="6"/>
  <c r="Q100" i="6"/>
  <c r="R100" i="6"/>
  <c r="T100" i="6"/>
  <c r="V99" i="6"/>
  <c r="Q99" i="6"/>
  <c r="R99" i="6"/>
  <c r="T99" i="6"/>
  <c r="Q98" i="6"/>
  <c r="V98" i="6"/>
  <c r="R98" i="6"/>
  <c r="T98" i="6"/>
  <c r="Q97" i="6"/>
  <c r="V97" i="6"/>
  <c r="R97" i="6"/>
  <c r="T97" i="6"/>
  <c r="Q96" i="6"/>
  <c r="V96" i="6"/>
  <c r="R96" i="6"/>
  <c r="T96" i="6"/>
  <c r="Q95" i="6"/>
  <c r="V95" i="6"/>
  <c r="R95" i="6"/>
  <c r="T95" i="6"/>
  <c r="V94" i="6"/>
  <c r="Q94" i="6"/>
  <c r="R94" i="6"/>
  <c r="T94" i="6"/>
  <c r="Q93" i="6"/>
  <c r="V93" i="6"/>
  <c r="R93" i="6"/>
  <c r="T93" i="6"/>
  <c r="V92" i="6"/>
  <c r="Q92" i="6"/>
  <c r="R92" i="6"/>
  <c r="T92" i="6"/>
  <c r="V91" i="6"/>
  <c r="Q91" i="6"/>
  <c r="R91" i="6"/>
  <c r="T91" i="6"/>
  <c r="V90" i="6"/>
  <c r="Q90" i="6"/>
  <c r="R90" i="6"/>
  <c r="T90" i="6"/>
  <c r="V89" i="6"/>
  <c r="Q89" i="6"/>
  <c r="R89" i="6"/>
  <c r="T89" i="6"/>
  <c r="V88" i="6"/>
  <c r="X88" i="6"/>
  <c r="Q88" i="6"/>
  <c r="R88" i="6"/>
  <c r="S88" i="6" s="1"/>
  <c r="U88" i="6" s="1"/>
  <c r="T88" i="6"/>
  <c r="V87" i="6"/>
  <c r="Q87" i="6"/>
  <c r="R87" i="6"/>
  <c r="T87" i="6"/>
  <c r="Q86" i="6"/>
  <c r="X86" i="6"/>
  <c r="V86" i="6"/>
  <c r="R86" i="6"/>
  <c r="S86" i="6" s="1"/>
  <c r="U86" i="6" s="1"/>
  <c r="T86" i="6"/>
  <c r="X85" i="6"/>
  <c r="V85" i="6"/>
  <c r="Q85" i="6"/>
  <c r="R85" i="6"/>
  <c r="S85" i="6" s="1"/>
  <c r="U85" i="6" s="1"/>
  <c r="T85" i="6"/>
  <c r="X84" i="6"/>
  <c r="Q84" i="6"/>
  <c r="V84" i="6"/>
  <c r="R84" i="6"/>
  <c r="S84" i="6" s="1"/>
  <c r="U84" i="6" s="1"/>
  <c r="T84" i="6"/>
  <c r="V83" i="6"/>
  <c r="Q83" i="6"/>
  <c r="R83" i="6"/>
  <c r="T83" i="6"/>
  <c r="V82" i="6"/>
  <c r="Q82" i="6"/>
  <c r="X82" i="6"/>
  <c r="R82" i="6"/>
  <c r="S82" i="6" s="1"/>
  <c r="U82" i="6" s="1"/>
  <c r="T82" i="6"/>
  <c r="Q81" i="6"/>
  <c r="V81" i="6"/>
  <c r="R81" i="6"/>
  <c r="T81" i="6"/>
  <c r="V80" i="6"/>
  <c r="Q80" i="6"/>
  <c r="R80" i="6"/>
  <c r="T80" i="6"/>
  <c r="V79" i="6"/>
  <c r="Q79" i="6"/>
  <c r="R79" i="6"/>
  <c r="T79" i="6"/>
  <c r="V78" i="6"/>
  <c r="Q78" i="6"/>
  <c r="R78" i="6"/>
  <c r="T78" i="6"/>
  <c r="V77" i="6"/>
  <c r="Q77" i="6"/>
  <c r="R77" i="6"/>
  <c r="T77" i="6"/>
  <c r="V76" i="6"/>
  <c r="X76" i="6"/>
  <c r="Q76" i="6"/>
  <c r="T76" i="6"/>
  <c r="R76" i="6"/>
  <c r="S76" i="6" s="1"/>
  <c r="U76" i="6" s="1"/>
  <c r="Q75" i="6"/>
  <c r="X75" i="6"/>
  <c r="V75" i="6"/>
  <c r="R75" i="6"/>
  <c r="S75" i="6" s="1"/>
  <c r="U75" i="6" s="1"/>
  <c r="T75" i="6"/>
  <c r="V74" i="6"/>
  <c r="Q74" i="6"/>
  <c r="R74" i="6"/>
  <c r="T74" i="6"/>
  <c r="Q73" i="6"/>
  <c r="R73" i="6"/>
  <c r="T73" i="6"/>
  <c r="V73" i="6"/>
  <c r="Q72" i="6"/>
  <c r="V72" i="6"/>
  <c r="T72" i="6"/>
  <c r="R72" i="6"/>
  <c r="Q71" i="6"/>
  <c r="V71" i="6"/>
  <c r="R71" i="6"/>
  <c r="T71" i="6"/>
  <c r="V70" i="6"/>
  <c r="X70" i="6"/>
  <c r="Q70" i="6"/>
  <c r="T70" i="6"/>
  <c r="R70" i="6"/>
  <c r="S70" i="6" s="1"/>
  <c r="U70" i="6" s="1"/>
  <c r="Q69" i="6"/>
  <c r="V69" i="6"/>
  <c r="T69" i="6"/>
  <c r="R69" i="6"/>
  <c r="X68" i="6"/>
  <c r="V68" i="6"/>
  <c r="Q68" i="6"/>
  <c r="R68" i="6"/>
  <c r="S68" i="6" s="1"/>
  <c r="U68" i="6" s="1"/>
  <c r="T68" i="6"/>
  <c r="V67" i="6"/>
  <c r="Q67" i="6"/>
  <c r="T67" i="6"/>
  <c r="R67" i="6"/>
  <c r="V66" i="6"/>
  <c r="Q66" i="6"/>
  <c r="R66" i="6"/>
  <c r="T66" i="6"/>
  <c r="R65" i="6"/>
  <c r="V65" i="6"/>
  <c r="T65" i="6"/>
  <c r="V64" i="6"/>
  <c r="X64" i="6"/>
  <c r="Q64" i="6"/>
  <c r="R64" i="6"/>
  <c r="S64" i="6" s="1"/>
  <c r="U64" i="6" s="1"/>
  <c r="T64" i="6"/>
  <c r="Q63" i="6"/>
  <c r="V63" i="6"/>
  <c r="R63" i="6"/>
  <c r="T63" i="6"/>
  <c r="Q62" i="6"/>
  <c r="V62" i="6"/>
  <c r="X62" i="6"/>
  <c r="R62" i="6"/>
  <c r="S62" i="6" s="1"/>
  <c r="U62" i="6" s="1"/>
  <c r="T62" i="6"/>
  <c r="V61" i="6"/>
  <c r="Q61" i="6"/>
  <c r="R61" i="6" s="1"/>
  <c r="T61" i="6"/>
  <c r="X60" i="6"/>
  <c r="V60" i="6"/>
  <c r="Q60" i="6"/>
  <c r="R60" i="6"/>
  <c r="S60" i="6" s="1"/>
  <c r="U60" i="6" s="1"/>
  <c r="T60" i="6"/>
  <c r="V59" i="6"/>
  <c r="Q59" i="6"/>
  <c r="R59" i="6"/>
  <c r="T59" i="6"/>
  <c r="X58" i="6"/>
  <c r="V58" i="6"/>
  <c r="Q58" i="6"/>
  <c r="R58" i="6"/>
  <c r="S58" i="6" s="1"/>
  <c r="U58" i="6" s="1"/>
  <c r="T58" i="6"/>
  <c r="Q57" i="6"/>
  <c r="V57" i="6"/>
  <c r="R57" i="6"/>
  <c r="T57" i="6"/>
  <c r="V56" i="6"/>
  <c r="Q56" i="6"/>
  <c r="R56" i="6"/>
  <c r="T56" i="6"/>
  <c r="Q55" i="6"/>
  <c r="V55" i="6"/>
  <c r="R55" i="6"/>
  <c r="T55" i="6"/>
  <c r="Q54" i="6"/>
  <c r="V54" i="6"/>
  <c r="R54" i="6"/>
  <c r="T54" i="6"/>
  <c r="V53" i="6"/>
  <c r="Q53" i="6"/>
  <c r="R53" i="6"/>
  <c r="T53" i="6"/>
  <c r="Q52" i="6"/>
  <c r="X52" i="6"/>
  <c r="V52" i="6"/>
  <c r="R52" i="6"/>
  <c r="S52" i="6" s="1"/>
  <c r="U52" i="6" s="1"/>
  <c r="T52" i="6"/>
  <c r="Q51" i="6"/>
  <c r="V51" i="6"/>
  <c r="R51" i="6"/>
  <c r="T51" i="6"/>
  <c r="V50" i="6"/>
  <c r="X50" i="6"/>
  <c r="Q50" i="6"/>
  <c r="R50" i="6"/>
  <c r="S50" i="6" s="1"/>
  <c r="U50" i="6" s="1"/>
  <c r="T50" i="6"/>
  <c r="Q49" i="6"/>
  <c r="X49" i="6"/>
  <c r="V49" i="6"/>
  <c r="R49" i="6"/>
  <c r="S49" i="6" s="1"/>
  <c r="U49" i="6" s="1"/>
  <c r="T49" i="6"/>
  <c r="V48" i="6"/>
  <c r="X48" i="6"/>
  <c r="Q48" i="6"/>
  <c r="R48" i="6"/>
  <c r="S48" i="6" s="1"/>
  <c r="U48" i="6" s="1"/>
  <c r="T48" i="6"/>
  <c r="Q47" i="6"/>
  <c r="V47" i="6"/>
  <c r="X47" i="6"/>
  <c r="R47" i="6"/>
  <c r="S47" i="6" s="1"/>
  <c r="U47" i="6" s="1"/>
  <c r="T47" i="6"/>
  <c r="Q46" i="6"/>
  <c r="X46" i="6"/>
  <c r="V46" i="6"/>
  <c r="R46" i="6"/>
  <c r="S46" i="6" s="1"/>
  <c r="U46" i="6" s="1"/>
  <c r="T46" i="6"/>
  <c r="V45" i="6"/>
  <c r="Q45" i="6"/>
  <c r="X45" i="6"/>
  <c r="T45" i="6"/>
  <c r="R45" i="6"/>
  <c r="S45" i="6" s="1"/>
  <c r="U45" i="6" s="1"/>
  <c r="V44" i="6"/>
  <c r="Q44" i="6"/>
  <c r="X44" i="6"/>
  <c r="R44" i="6"/>
  <c r="S44" i="6" s="1"/>
  <c r="U44" i="6" s="1"/>
  <c r="T44" i="6"/>
  <c r="V43" i="6"/>
  <c r="X43" i="6"/>
  <c r="Q43" i="6"/>
  <c r="R43" i="6"/>
  <c r="S43" i="6" s="1"/>
  <c r="U43" i="6" s="1"/>
  <c r="T43" i="6"/>
  <c r="Q42" i="6"/>
  <c r="V42" i="6"/>
  <c r="X42" i="6"/>
  <c r="R42" i="6"/>
  <c r="S42" i="6" s="1"/>
  <c r="U42" i="6" s="1"/>
  <c r="T42" i="6"/>
  <c r="Q41" i="6"/>
  <c r="V41" i="6"/>
  <c r="T41" i="6"/>
  <c r="R41" i="6"/>
  <c r="X40" i="6"/>
  <c r="V40" i="6"/>
  <c r="T40" i="6"/>
  <c r="R40" i="6"/>
  <c r="S40" i="6" s="1"/>
  <c r="U40" i="6" s="1"/>
  <c r="Q39" i="6"/>
  <c r="V39" i="6"/>
  <c r="X39" i="6"/>
  <c r="R39" i="6"/>
  <c r="S39" i="6" s="1"/>
  <c r="U39" i="6" s="1"/>
  <c r="T39" i="6"/>
  <c r="X38" i="6"/>
  <c r="Q38" i="6"/>
  <c r="V38" i="6"/>
  <c r="R38" i="6"/>
  <c r="S38" i="6" s="1"/>
  <c r="U38" i="6" s="1"/>
  <c r="T38" i="6"/>
  <c r="Q37" i="6"/>
  <c r="V37" i="6"/>
  <c r="T37" i="6"/>
  <c r="R37" i="6"/>
  <c r="X36" i="6"/>
  <c r="V36" i="6"/>
  <c r="Q36" i="6"/>
  <c r="T36" i="6"/>
  <c r="R36" i="6"/>
  <c r="S36" i="6" s="1"/>
  <c r="U36" i="6" s="1"/>
  <c r="V35" i="6"/>
  <c r="Q35" i="6"/>
  <c r="T35" i="6"/>
  <c r="R35" i="6"/>
  <c r="Q34" i="6"/>
  <c r="V34" i="6"/>
  <c r="R34" i="6"/>
  <c r="T34" i="6"/>
  <c r="V33" i="6"/>
  <c r="Q33" i="6"/>
  <c r="R33" i="6"/>
  <c r="T33" i="6"/>
  <c r="V32" i="6"/>
  <c r="Q32" i="6"/>
  <c r="T32" i="6"/>
  <c r="R32" i="6"/>
  <c r="V31" i="6"/>
  <c r="Q31" i="6"/>
  <c r="R31" i="6"/>
  <c r="T31" i="6"/>
  <c r="Q30" i="6"/>
  <c r="X30" i="6"/>
  <c r="V30" i="6"/>
  <c r="R30" i="6"/>
  <c r="S30" i="6" s="1"/>
  <c r="U30" i="6" s="1"/>
  <c r="T30" i="6"/>
  <c r="V29" i="6"/>
  <c r="Q29" i="6"/>
  <c r="R29" i="6"/>
  <c r="T29" i="6"/>
  <c r="X28" i="6"/>
  <c r="Q28" i="6"/>
  <c r="V28" i="6"/>
  <c r="T28" i="6"/>
  <c r="R28" i="6"/>
  <c r="S28" i="6" s="1"/>
  <c r="U28" i="6" s="1"/>
  <c r="Q27" i="6"/>
  <c r="V27" i="6"/>
  <c r="R27" i="6"/>
  <c r="T27" i="6"/>
  <c r="V26" i="6"/>
  <c r="X26" i="6"/>
  <c r="Q26" i="6"/>
  <c r="R26" i="6"/>
  <c r="S26" i="6" s="1"/>
  <c r="U26" i="6" s="1"/>
  <c r="T26" i="6"/>
  <c r="Q25" i="6"/>
  <c r="V25" i="6"/>
  <c r="R25" i="6"/>
  <c r="T25" i="6"/>
  <c r="V24" i="6"/>
  <c r="X24" i="6"/>
  <c r="Q24" i="6"/>
  <c r="R24" i="6"/>
  <c r="S24" i="6" s="1"/>
  <c r="U24" i="6" s="1"/>
  <c r="T24" i="6"/>
  <c r="V23" i="6"/>
  <c r="Q23" i="6"/>
  <c r="X23" i="6"/>
  <c r="R23" i="6"/>
  <c r="S23" i="6" s="1"/>
  <c r="U23" i="6" s="1"/>
  <c r="T23" i="6"/>
  <c r="X22" i="6"/>
  <c r="Q22" i="6"/>
  <c r="V22" i="6"/>
  <c r="R22" i="6"/>
  <c r="S22" i="6" s="1"/>
  <c r="U22" i="6" s="1"/>
  <c r="T22" i="6"/>
  <c r="V21" i="6"/>
  <c r="Q21" i="6"/>
  <c r="R21" i="6"/>
  <c r="T21" i="6"/>
  <c r="Q20" i="6"/>
  <c r="V20" i="6"/>
  <c r="T20" i="6"/>
  <c r="R20" i="6"/>
  <c r="V19" i="6"/>
  <c r="X19" i="6"/>
  <c r="Q19" i="6"/>
  <c r="R19" i="6"/>
  <c r="S19" i="6" s="1"/>
  <c r="U19" i="6" s="1"/>
  <c r="T19" i="6"/>
  <c r="Q18" i="6"/>
  <c r="V18" i="6"/>
  <c r="T18" i="6"/>
  <c r="R18" i="6"/>
  <c r="Q17" i="6"/>
  <c r="X17" i="6"/>
  <c r="V17" i="6"/>
  <c r="R17" i="6"/>
  <c r="S17" i="6" s="1"/>
  <c r="U17" i="6" s="1"/>
  <c r="T17" i="6"/>
  <c r="Q16" i="6"/>
  <c r="X16" i="6"/>
  <c r="V16" i="6"/>
  <c r="T16" i="6"/>
  <c r="R16" i="6"/>
  <c r="S16" i="6" s="1"/>
  <c r="U16" i="6" s="1"/>
  <c r="Q15" i="6"/>
  <c r="R15" i="6"/>
  <c r="T15" i="6"/>
  <c r="V15" i="6"/>
  <c r="X14" i="6"/>
  <c r="Q14" i="6"/>
  <c r="V14" i="6"/>
  <c r="R14" i="6"/>
  <c r="S14" i="6" s="1"/>
  <c r="U14" i="6" s="1"/>
  <c r="T14" i="6"/>
  <c r="X13" i="6"/>
  <c r="V13" i="6"/>
  <c r="Q13" i="6"/>
  <c r="R13" i="6"/>
  <c r="S13" i="6" s="1"/>
  <c r="U13" i="6" s="1"/>
  <c r="T13" i="6"/>
  <c r="V12" i="6"/>
  <c r="X12" i="6"/>
  <c r="Q12" i="6"/>
  <c r="R12" i="6"/>
  <c r="S12" i="6" s="1"/>
  <c r="U12" i="6" s="1"/>
  <c r="T12" i="6"/>
  <c r="V11" i="6"/>
  <c r="X11" i="6"/>
  <c r="Q11" i="6"/>
  <c r="R11" i="6"/>
  <c r="S11" i="6" s="1"/>
  <c r="U11" i="6" s="1"/>
  <c r="T11" i="6"/>
  <c r="Q10" i="6"/>
  <c r="V10" i="6"/>
  <c r="R10" i="6"/>
  <c r="T10" i="6"/>
  <c r="Q9" i="6"/>
  <c r="V9" i="6"/>
  <c r="X9" i="6"/>
  <c r="R9" i="6"/>
  <c r="S9" i="6" s="1"/>
  <c r="U9" i="6" s="1"/>
  <c r="T9" i="6"/>
  <c r="X8" i="6"/>
  <c r="V8" i="6"/>
  <c r="Q8" i="6"/>
  <c r="R8" i="6"/>
  <c r="S8" i="6" s="1"/>
  <c r="U8" i="6" s="1"/>
  <c r="T8" i="6"/>
  <c r="X7" i="6"/>
  <c r="V7" i="6"/>
  <c r="Q7" i="6"/>
  <c r="R7" i="6"/>
  <c r="S7" i="6" s="1"/>
  <c r="U7" i="6" s="1"/>
  <c r="T7" i="6"/>
  <c r="Q6" i="6"/>
  <c r="V6" i="6"/>
  <c r="R6" i="6"/>
  <c r="T6" i="6"/>
  <c r="V5" i="6"/>
  <c r="Q5" i="6"/>
  <c r="R5" i="6"/>
  <c r="T5" i="6"/>
  <c r="B21" i="1"/>
  <c r="F21" i="1" s="1"/>
  <c r="V164" i="5"/>
  <c r="W164" i="5" s="1"/>
  <c r="X164" i="5"/>
  <c r="Y164" i="5"/>
  <c r="Z164" i="5"/>
  <c r="M164" i="5"/>
  <c r="L164" i="5"/>
  <c r="X163" i="5"/>
  <c r="Z163" i="5"/>
  <c r="V163" i="5"/>
  <c r="W163" i="5" s="1"/>
  <c r="Y163" i="5"/>
  <c r="L163" i="5"/>
  <c r="M163" i="5"/>
  <c r="V162" i="5"/>
  <c r="W162" i="5" s="1"/>
  <c r="X162" i="5"/>
  <c r="Y162" i="5"/>
  <c r="Z162" i="5"/>
  <c r="M162" i="5"/>
  <c r="L162" i="5"/>
  <c r="V161" i="5"/>
  <c r="W161" i="5" s="1"/>
  <c r="X161" i="5"/>
  <c r="Y161" i="5"/>
  <c r="Z161" i="5"/>
  <c r="M161" i="5"/>
  <c r="L161" i="5"/>
  <c r="V160" i="5"/>
  <c r="W160" i="5" s="1"/>
  <c r="X160" i="5"/>
  <c r="Y160" i="5"/>
  <c r="Z160" i="5"/>
  <c r="M160" i="5"/>
  <c r="L160" i="5"/>
  <c r="V159" i="5"/>
  <c r="W159" i="5" s="1"/>
  <c r="X159" i="5"/>
  <c r="Y159" i="5"/>
  <c r="Z159" i="5"/>
  <c r="L159" i="5"/>
  <c r="M159" i="5"/>
  <c r="V158" i="5"/>
  <c r="W158" i="5" s="1"/>
  <c r="X158" i="5"/>
  <c r="Y158" i="5"/>
  <c r="Z158" i="5"/>
  <c r="L158" i="5"/>
  <c r="M158" i="5"/>
  <c r="V157" i="5"/>
  <c r="W157" i="5" s="1"/>
  <c r="X157" i="5"/>
  <c r="Y157" i="5"/>
  <c r="Z157" i="5"/>
  <c r="M157" i="5"/>
  <c r="L157" i="5"/>
  <c r="V156" i="5"/>
  <c r="W156" i="5" s="1"/>
  <c r="X156" i="5"/>
  <c r="Y156" i="5"/>
  <c r="Z156" i="5"/>
  <c r="M156" i="5"/>
  <c r="L156" i="5"/>
  <c r="V155" i="5"/>
  <c r="W155" i="5" s="1"/>
  <c r="X155" i="5"/>
  <c r="Y155" i="5"/>
  <c r="Z155" i="5"/>
  <c r="M155" i="5"/>
  <c r="L155" i="5"/>
  <c r="V154" i="5"/>
  <c r="W154" i="5" s="1"/>
  <c r="X154" i="5"/>
  <c r="Y154" i="5"/>
  <c r="Z154" i="5"/>
  <c r="M154" i="5"/>
  <c r="L154" i="5"/>
  <c r="V153" i="5"/>
  <c r="W153" i="5" s="1"/>
  <c r="X153" i="5"/>
  <c r="Y153" i="5"/>
  <c r="Z153" i="5"/>
  <c r="L153" i="5"/>
  <c r="M153" i="5"/>
  <c r="V152" i="5"/>
  <c r="W152" i="5" s="1"/>
  <c r="X152" i="5"/>
  <c r="Y152" i="5"/>
  <c r="Z152" i="5"/>
  <c r="M152" i="5"/>
  <c r="L152" i="5"/>
  <c r="V151" i="5"/>
  <c r="W151" i="5" s="1"/>
  <c r="X151" i="5"/>
  <c r="Y151" i="5"/>
  <c r="Z151" i="5"/>
  <c r="M151" i="5"/>
  <c r="L151" i="5"/>
  <c r="V150" i="5"/>
  <c r="W150" i="5" s="1"/>
  <c r="X150" i="5"/>
  <c r="Y150" i="5"/>
  <c r="Z150" i="5"/>
  <c r="M150" i="5"/>
  <c r="L150" i="5"/>
  <c r="V149" i="5"/>
  <c r="W149" i="5" s="1"/>
  <c r="X149" i="5"/>
  <c r="Y149" i="5"/>
  <c r="Z149" i="5"/>
  <c r="M149" i="5"/>
  <c r="L149" i="5"/>
  <c r="V148" i="5"/>
  <c r="W148" i="5" s="1"/>
  <c r="X148" i="5"/>
  <c r="Y148" i="5"/>
  <c r="Z148" i="5"/>
  <c r="L148" i="5"/>
  <c r="M148" i="5"/>
  <c r="V147" i="5"/>
  <c r="W147" i="5" s="1"/>
  <c r="X147" i="5"/>
  <c r="Y147" i="5"/>
  <c r="Z147" i="5"/>
  <c r="M147" i="5"/>
  <c r="L147" i="5"/>
  <c r="V146" i="5"/>
  <c r="W146" i="5" s="1"/>
  <c r="X146" i="5"/>
  <c r="Y146" i="5"/>
  <c r="Z146" i="5"/>
  <c r="L146" i="5"/>
  <c r="M146" i="5"/>
  <c r="V145" i="5"/>
  <c r="W145" i="5" s="1"/>
  <c r="X145" i="5"/>
  <c r="Y145" i="5"/>
  <c r="Z145" i="5"/>
  <c r="M145" i="5"/>
  <c r="L145" i="5"/>
  <c r="V144" i="5"/>
  <c r="W144" i="5" s="1"/>
  <c r="X144" i="5"/>
  <c r="Y144" i="5"/>
  <c r="Z144" i="5"/>
  <c r="L144" i="5"/>
  <c r="M144" i="5"/>
  <c r="V143" i="5"/>
  <c r="W143" i="5" s="1"/>
  <c r="X143" i="5"/>
  <c r="Y143" i="5"/>
  <c r="Z143" i="5"/>
  <c r="M143" i="5"/>
  <c r="L143" i="5"/>
  <c r="V142" i="5"/>
  <c r="W142" i="5" s="1"/>
  <c r="X142" i="5"/>
  <c r="Y142" i="5"/>
  <c r="Z142" i="5"/>
  <c r="L142" i="5"/>
  <c r="M142" i="5"/>
  <c r="V141" i="5"/>
  <c r="W141" i="5" s="1"/>
  <c r="X141" i="5"/>
  <c r="Y141" i="5"/>
  <c r="Z141" i="5"/>
  <c r="M141" i="5"/>
  <c r="L141" i="5"/>
  <c r="V140" i="5"/>
  <c r="W140" i="5" s="1"/>
  <c r="X140" i="5"/>
  <c r="Y140" i="5"/>
  <c r="Z140" i="5"/>
  <c r="L140" i="5"/>
  <c r="M140" i="5"/>
  <c r="V139" i="5"/>
  <c r="W139" i="5" s="1"/>
  <c r="X139" i="5"/>
  <c r="Y139" i="5"/>
  <c r="Z139" i="5"/>
  <c r="M139" i="5"/>
  <c r="L139" i="5"/>
  <c r="V138" i="5"/>
  <c r="W138" i="5" s="1"/>
  <c r="X138" i="5"/>
  <c r="Y138" i="5"/>
  <c r="Z138" i="5"/>
  <c r="M138" i="5"/>
  <c r="L138" i="5"/>
  <c r="V137" i="5"/>
  <c r="W137" i="5" s="1"/>
  <c r="X137" i="5"/>
  <c r="Y137" i="5"/>
  <c r="Z137" i="5"/>
  <c r="L137" i="5"/>
  <c r="M137" i="5"/>
  <c r="V136" i="5"/>
  <c r="W136" i="5" s="1"/>
  <c r="X136" i="5"/>
  <c r="Y136" i="5"/>
  <c r="Z136" i="5"/>
  <c r="M136" i="5"/>
  <c r="L136" i="5"/>
  <c r="V135" i="5"/>
  <c r="W135" i="5" s="1"/>
  <c r="X135" i="5"/>
  <c r="Y135" i="5"/>
  <c r="Z135" i="5"/>
  <c r="M135" i="5"/>
  <c r="L135" i="5"/>
  <c r="V134" i="5"/>
  <c r="W134" i="5" s="1"/>
  <c r="X134" i="5"/>
  <c r="Y134" i="5"/>
  <c r="Z134" i="5"/>
  <c r="L134" i="5"/>
  <c r="M134" i="5"/>
  <c r="V133" i="5"/>
  <c r="W133" i="5" s="1"/>
  <c r="X133" i="5"/>
  <c r="Y133" i="5"/>
  <c r="Z133" i="5"/>
  <c r="L133" i="5"/>
  <c r="M133" i="5"/>
  <c r="V132" i="5"/>
  <c r="W132" i="5" s="1"/>
  <c r="X132" i="5"/>
  <c r="Y132" i="5"/>
  <c r="Z132" i="5"/>
  <c r="M132" i="5"/>
  <c r="L132" i="5"/>
  <c r="V131" i="5"/>
  <c r="W131" i="5" s="1"/>
  <c r="X131" i="5"/>
  <c r="Y131" i="5"/>
  <c r="Z131" i="5"/>
  <c r="L131" i="5"/>
  <c r="M131" i="5"/>
  <c r="V130" i="5"/>
  <c r="W130" i="5" s="1"/>
  <c r="X130" i="5"/>
  <c r="Y130" i="5"/>
  <c r="Z130" i="5"/>
  <c r="L130" i="5"/>
  <c r="M130" i="5"/>
  <c r="V129" i="5"/>
  <c r="W129" i="5" s="1"/>
  <c r="X129" i="5"/>
  <c r="Y129" i="5"/>
  <c r="Z129" i="5"/>
  <c r="L129" i="5"/>
  <c r="M129" i="5"/>
  <c r="V128" i="5"/>
  <c r="W128" i="5" s="1"/>
  <c r="X128" i="5"/>
  <c r="Y128" i="5"/>
  <c r="Z128" i="5"/>
  <c r="M128" i="5"/>
  <c r="L128" i="5"/>
  <c r="V127" i="5"/>
  <c r="W127" i="5" s="1"/>
  <c r="X127" i="5"/>
  <c r="Y127" i="5"/>
  <c r="Z127" i="5"/>
  <c r="L127" i="5"/>
  <c r="M127" i="5"/>
  <c r="V126" i="5"/>
  <c r="W126" i="5" s="1"/>
  <c r="X126" i="5"/>
  <c r="Y126" i="5"/>
  <c r="L126" i="5"/>
  <c r="M126" i="5"/>
  <c r="Y125" i="5"/>
  <c r="Z125" i="5"/>
  <c r="V125" i="5"/>
  <c r="W125" i="5" s="1"/>
  <c r="X125" i="5"/>
  <c r="L125" i="5"/>
  <c r="M125" i="5"/>
  <c r="X124" i="5"/>
  <c r="V124" i="5"/>
  <c r="W124" i="5" s="1"/>
  <c r="Y124" i="5"/>
  <c r="Z124" i="5"/>
  <c r="L124" i="5"/>
  <c r="M124" i="5"/>
  <c r="Z123" i="5"/>
  <c r="V123" i="5"/>
  <c r="W123" i="5" s="1"/>
  <c r="X123" i="5"/>
  <c r="Y123" i="5"/>
  <c r="L123" i="5"/>
  <c r="M123" i="5"/>
  <c r="V122" i="5"/>
  <c r="W122" i="5" s="1"/>
  <c r="X122" i="5"/>
  <c r="Y122" i="5"/>
  <c r="Z122" i="5"/>
  <c r="L122" i="5"/>
  <c r="M122" i="5"/>
  <c r="Y121" i="5"/>
  <c r="Z121" i="5"/>
  <c r="V121" i="5"/>
  <c r="W121" i="5" s="1"/>
  <c r="X121" i="5"/>
  <c r="L121" i="5"/>
  <c r="M121" i="5"/>
  <c r="V120" i="5"/>
  <c r="W120" i="5" s="1"/>
  <c r="X120" i="5"/>
  <c r="Y120" i="5"/>
  <c r="Z120" i="5"/>
  <c r="L120" i="5"/>
  <c r="M120" i="5"/>
  <c r="V119" i="5"/>
  <c r="W119" i="5" s="1"/>
  <c r="X119" i="5"/>
  <c r="Y119" i="5"/>
  <c r="Z119" i="5"/>
  <c r="M119" i="5"/>
  <c r="L119" i="5"/>
  <c r="V118" i="5"/>
  <c r="W118" i="5" s="1"/>
  <c r="X118" i="5"/>
  <c r="Y118" i="5"/>
  <c r="Z118" i="5"/>
  <c r="M118" i="5"/>
  <c r="L118" i="5"/>
  <c r="Y117" i="5"/>
  <c r="V117" i="5"/>
  <c r="W117" i="5" s="1"/>
  <c r="X117" i="5"/>
  <c r="Z117" i="5"/>
  <c r="M117" i="5"/>
  <c r="L117" i="5"/>
  <c r="V116" i="5"/>
  <c r="W116" i="5" s="1"/>
  <c r="X116" i="5"/>
  <c r="Y116" i="5"/>
  <c r="Z116" i="5"/>
  <c r="L116" i="5"/>
  <c r="M116" i="5"/>
  <c r="X115" i="5"/>
  <c r="Z115" i="5"/>
  <c r="V115" i="5"/>
  <c r="W115" i="5" s="1"/>
  <c r="Y115" i="5"/>
  <c r="M115" i="5"/>
  <c r="L115" i="5"/>
  <c r="Y114" i="5"/>
  <c r="V114" i="5"/>
  <c r="W114" i="5" s="1"/>
  <c r="X114" i="5"/>
  <c r="L114" i="5"/>
  <c r="M114" i="5"/>
  <c r="X113" i="5"/>
  <c r="Y113" i="5"/>
  <c r="V113" i="5"/>
  <c r="W113" i="5" s="1"/>
  <c r="L113" i="5"/>
  <c r="M113" i="5"/>
  <c r="X112" i="5"/>
  <c r="Z112" i="5"/>
  <c r="V112" i="5"/>
  <c r="W112" i="5" s="1"/>
  <c r="Y112" i="5"/>
  <c r="M112" i="5"/>
  <c r="L112" i="5"/>
  <c r="X111" i="5"/>
  <c r="V111" i="5"/>
  <c r="W111" i="5" s="1"/>
  <c r="Y111" i="5"/>
  <c r="Z111" i="5"/>
  <c r="L111" i="5"/>
  <c r="M111" i="5"/>
  <c r="X110" i="5"/>
  <c r="Z110" i="5"/>
  <c r="V110" i="5"/>
  <c r="W110" i="5" s="1"/>
  <c r="Y110" i="5"/>
  <c r="M110" i="5"/>
  <c r="L110" i="5"/>
  <c r="Y109" i="5"/>
  <c r="V109" i="5"/>
  <c r="W109" i="5" s="1"/>
  <c r="X109" i="5"/>
  <c r="Z109" i="5"/>
  <c r="M109" i="5"/>
  <c r="L109" i="5"/>
  <c r="V108" i="5"/>
  <c r="W108" i="5" s="1"/>
  <c r="X108" i="5"/>
  <c r="Y108" i="5"/>
  <c r="Z108" i="5"/>
  <c r="L108" i="5"/>
  <c r="M108" i="5"/>
  <c r="X107" i="5"/>
  <c r="Z107" i="5"/>
  <c r="V107" i="5"/>
  <c r="W107" i="5" s="1"/>
  <c r="Y107" i="5"/>
  <c r="M107" i="5"/>
  <c r="L107" i="5"/>
  <c r="V106" i="5"/>
  <c r="W106" i="5" s="1"/>
  <c r="X106" i="5"/>
  <c r="Y106" i="5"/>
  <c r="Z106" i="5"/>
  <c r="L106" i="5"/>
  <c r="M106" i="5"/>
  <c r="V105" i="5"/>
  <c r="W105" i="5" s="1"/>
  <c r="X105" i="5"/>
  <c r="Y105" i="5"/>
  <c r="Z105" i="5"/>
  <c r="M105" i="5"/>
  <c r="L105" i="5"/>
  <c r="V104" i="5"/>
  <c r="W104" i="5" s="1"/>
  <c r="X104" i="5"/>
  <c r="Y104" i="5"/>
  <c r="Z104" i="5"/>
  <c r="M104" i="5"/>
  <c r="L104" i="5"/>
  <c r="V103" i="5"/>
  <c r="W103" i="5" s="1"/>
  <c r="X103" i="5"/>
  <c r="Y103" i="5"/>
  <c r="Z103" i="5"/>
  <c r="M103" i="5"/>
  <c r="L103" i="5"/>
  <c r="V102" i="5"/>
  <c r="W102" i="5" s="1"/>
  <c r="X102" i="5"/>
  <c r="Y102" i="5"/>
  <c r="Z102" i="5"/>
  <c r="M102" i="5"/>
  <c r="L102" i="5"/>
  <c r="P102" i="5" s="1"/>
  <c r="Q102" i="5" s="1"/>
  <c r="O102" i="5"/>
  <c r="V101" i="5"/>
  <c r="W101" i="5" s="1"/>
  <c r="X101" i="5"/>
  <c r="Y101" i="5"/>
  <c r="Z101" i="5"/>
  <c r="L101" i="5"/>
  <c r="M101" i="5"/>
  <c r="O101" i="5"/>
  <c r="V100" i="5"/>
  <c r="W100" i="5" s="1"/>
  <c r="X100" i="5"/>
  <c r="Y100" i="5"/>
  <c r="Z100" i="5"/>
  <c r="M100" i="5"/>
  <c r="L100" i="5"/>
  <c r="V99" i="5"/>
  <c r="W99" i="5" s="1"/>
  <c r="X99" i="5"/>
  <c r="Y99" i="5"/>
  <c r="Z99" i="5"/>
  <c r="M99" i="5"/>
  <c r="L99" i="5"/>
  <c r="Y98" i="5"/>
  <c r="V98" i="5"/>
  <c r="W98" i="5" s="1"/>
  <c r="X98" i="5"/>
  <c r="Z98" i="5"/>
  <c r="L98" i="5"/>
  <c r="O98" i="5" s="1"/>
  <c r="M98" i="5"/>
  <c r="V97" i="5"/>
  <c r="W97" i="5" s="1"/>
  <c r="X97" i="5"/>
  <c r="Y97" i="5"/>
  <c r="Z97" i="5"/>
  <c r="M97" i="5"/>
  <c r="L97" i="5"/>
  <c r="V96" i="5"/>
  <c r="W96" i="5" s="1"/>
  <c r="X96" i="5"/>
  <c r="Y96" i="5"/>
  <c r="Z96" i="5"/>
  <c r="L96" i="5"/>
  <c r="P96" i="5" s="1"/>
  <c r="Q96" i="5" s="1"/>
  <c r="M96" i="5"/>
  <c r="O96" i="5"/>
  <c r="V95" i="5"/>
  <c r="W95" i="5" s="1"/>
  <c r="X95" i="5"/>
  <c r="Y95" i="5"/>
  <c r="Z95" i="5"/>
  <c r="L95" i="5"/>
  <c r="O95" i="5"/>
  <c r="M95" i="5"/>
  <c r="V94" i="5"/>
  <c r="W94" i="5" s="1"/>
  <c r="X94" i="5"/>
  <c r="Y94" i="5"/>
  <c r="Z94" i="5"/>
  <c r="L94" i="5"/>
  <c r="M94" i="5"/>
  <c r="O94" i="5"/>
  <c r="V93" i="5"/>
  <c r="W93" i="5" s="1"/>
  <c r="X93" i="5"/>
  <c r="Y93" i="5"/>
  <c r="Z93" i="5"/>
  <c r="L93" i="5"/>
  <c r="M93" i="5"/>
  <c r="O93" i="5"/>
  <c r="X92" i="5"/>
  <c r="V92" i="5"/>
  <c r="W92" i="5" s="1"/>
  <c r="Y92" i="5"/>
  <c r="Z92" i="5"/>
  <c r="M92" i="5"/>
  <c r="L92" i="5"/>
  <c r="X91" i="5"/>
  <c r="V91" i="5"/>
  <c r="W91" i="5" s="1"/>
  <c r="Y91" i="5"/>
  <c r="Z91" i="5"/>
  <c r="M91" i="5"/>
  <c r="L91" i="5"/>
  <c r="Y90" i="5"/>
  <c r="V90" i="5"/>
  <c r="W90" i="5" s="1"/>
  <c r="X90" i="5"/>
  <c r="Z90" i="5"/>
  <c r="L90" i="5"/>
  <c r="O90" i="5" s="1"/>
  <c r="M90" i="5"/>
  <c r="Y89" i="5"/>
  <c r="V89" i="5"/>
  <c r="W89" i="5" s="1"/>
  <c r="X89" i="5"/>
  <c r="Z89" i="5"/>
  <c r="M89" i="5"/>
  <c r="L89" i="5"/>
  <c r="P89" i="5" s="1"/>
  <c r="Q89" i="5" s="1"/>
  <c r="O89" i="5"/>
  <c r="V88" i="5"/>
  <c r="W88" i="5" s="1"/>
  <c r="X88" i="5"/>
  <c r="Y88" i="5"/>
  <c r="Z88" i="5"/>
  <c r="M88" i="5"/>
  <c r="L88" i="5"/>
  <c r="Y87" i="5"/>
  <c r="V87" i="5"/>
  <c r="W87" i="5" s="1"/>
  <c r="X87" i="5"/>
  <c r="Z87" i="5"/>
  <c r="M87" i="5"/>
  <c r="L87" i="5"/>
  <c r="V86" i="5"/>
  <c r="W86" i="5" s="1"/>
  <c r="X86" i="5"/>
  <c r="Y86" i="5"/>
  <c r="Z86" i="5"/>
  <c r="L86" i="5"/>
  <c r="P86" i="5" s="1"/>
  <c r="Q86" i="5" s="1"/>
  <c r="M86" i="5"/>
  <c r="O86" i="5"/>
  <c r="V85" i="5"/>
  <c r="W85" i="5" s="1"/>
  <c r="X85" i="5"/>
  <c r="Y85" i="5"/>
  <c r="Z85" i="5"/>
  <c r="L85" i="5"/>
  <c r="P85" i="5" s="1"/>
  <c r="Q85" i="5" s="1"/>
  <c r="M85" i="5"/>
  <c r="O85" i="5"/>
  <c r="V84" i="5"/>
  <c r="W84" i="5" s="1"/>
  <c r="X84" i="5"/>
  <c r="Y84" i="5"/>
  <c r="Z84" i="5"/>
  <c r="M84" i="5"/>
  <c r="L84" i="5"/>
  <c r="P84" i="5" s="1"/>
  <c r="Q84" i="5" s="1"/>
  <c r="O84" i="5"/>
  <c r="V83" i="5"/>
  <c r="W83" i="5" s="1"/>
  <c r="X83" i="5"/>
  <c r="Y83" i="5"/>
  <c r="Z83" i="5"/>
  <c r="L83" i="5"/>
  <c r="P83" i="5" s="1"/>
  <c r="Q83" i="5" s="1"/>
  <c r="M83" i="5"/>
  <c r="O83" i="5"/>
  <c r="Z82" i="5"/>
  <c r="V82" i="5"/>
  <c r="W82" i="5" s="1"/>
  <c r="X82" i="5"/>
  <c r="Y82" i="5"/>
  <c r="M82" i="5"/>
  <c r="L82" i="5"/>
  <c r="Y81" i="5"/>
  <c r="V81" i="5"/>
  <c r="W81" i="5" s="1"/>
  <c r="X81" i="5"/>
  <c r="Z81" i="5"/>
  <c r="L81" i="5"/>
  <c r="O81" i="5" s="1"/>
  <c r="M81" i="5"/>
  <c r="Y80" i="5"/>
  <c r="Z80" i="5"/>
  <c r="V80" i="5"/>
  <c r="W80" i="5" s="1"/>
  <c r="X80" i="5"/>
  <c r="L80" i="5"/>
  <c r="P80" i="5" s="1"/>
  <c r="Q80" i="5" s="1"/>
  <c r="O80" i="5"/>
  <c r="M80" i="5"/>
  <c r="X79" i="5"/>
  <c r="V79" i="5"/>
  <c r="W79" i="5" s="1"/>
  <c r="Y79" i="5"/>
  <c r="Z79" i="5"/>
  <c r="M79" i="5"/>
  <c r="L79" i="5"/>
  <c r="P79" i="5" s="1"/>
  <c r="Q79" i="5" s="1"/>
  <c r="O79" i="5"/>
  <c r="X78" i="5"/>
  <c r="Z78" i="5"/>
  <c r="V78" i="5"/>
  <c r="W78" i="5" s="1"/>
  <c r="Y78" i="5"/>
  <c r="M78" i="5"/>
  <c r="L78" i="5"/>
  <c r="X77" i="5"/>
  <c r="Y77" i="5"/>
  <c r="V77" i="5"/>
  <c r="W77" i="5" s="1"/>
  <c r="Z77" i="5"/>
  <c r="L77" i="5"/>
  <c r="P77" i="5" s="1"/>
  <c r="Q77" i="5" s="1"/>
  <c r="O77" i="5"/>
  <c r="M77" i="5"/>
  <c r="X76" i="5"/>
  <c r="V76" i="5"/>
  <c r="W76" i="5" s="1"/>
  <c r="Y76" i="5"/>
  <c r="Z76" i="5"/>
  <c r="M76" i="5"/>
  <c r="L76" i="5"/>
  <c r="P76" i="5" s="1"/>
  <c r="Q76" i="5" s="1"/>
  <c r="O76" i="5"/>
  <c r="X75" i="5"/>
  <c r="Y75" i="5"/>
  <c r="Z75" i="5"/>
  <c r="V75" i="5"/>
  <c r="W75" i="5" s="1"/>
  <c r="L75" i="5"/>
  <c r="M75" i="5"/>
  <c r="V74" i="5"/>
  <c r="W74" i="5" s="1"/>
  <c r="X74" i="5"/>
  <c r="Z74" i="5"/>
  <c r="Y74" i="5"/>
  <c r="M74" i="5"/>
  <c r="L74" i="5"/>
  <c r="X73" i="5"/>
  <c r="Y73" i="5"/>
  <c r="V73" i="5"/>
  <c r="W73" i="5" s="1"/>
  <c r="Z73" i="5"/>
  <c r="L73" i="5"/>
  <c r="M73" i="5"/>
  <c r="X72" i="5"/>
  <c r="Y72" i="5"/>
  <c r="Z72" i="5"/>
  <c r="V72" i="5"/>
  <c r="W72" i="5" s="1"/>
  <c r="L72" i="5"/>
  <c r="M72" i="5"/>
  <c r="Y71" i="5"/>
  <c r="V71" i="5"/>
  <c r="W71" i="5" s="1"/>
  <c r="X71" i="5"/>
  <c r="Z71" i="5"/>
  <c r="M71" i="5"/>
  <c r="L71" i="5"/>
  <c r="X70" i="5"/>
  <c r="V70" i="5"/>
  <c r="W70" i="5" s="1"/>
  <c r="Z70" i="5"/>
  <c r="Y70" i="5"/>
  <c r="M70" i="5"/>
  <c r="L70" i="5"/>
  <c r="P70" i="5" s="1"/>
  <c r="Q70" i="5" s="1"/>
  <c r="O70" i="5"/>
  <c r="V69" i="5"/>
  <c r="W69" i="5" s="1"/>
  <c r="X69" i="5"/>
  <c r="Y69" i="5"/>
  <c r="Z69" i="5"/>
  <c r="L69" i="5"/>
  <c r="M69" i="5"/>
  <c r="O69" i="5"/>
  <c r="X68" i="5"/>
  <c r="Z68" i="5"/>
  <c r="V68" i="5"/>
  <c r="W68" i="5" s="1"/>
  <c r="Y68" i="5"/>
  <c r="L68" i="5"/>
  <c r="O68" i="5"/>
  <c r="M68" i="5"/>
  <c r="V67" i="5"/>
  <c r="W67" i="5" s="1"/>
  <c r="X67" i="5"/>
  <c r="Y67" i="5"/>
  <c r="Z67" i="5"/>
  <c r="M67" i="5"/>
  <c r="L67" i="5"/>
  <c r="V66" i="5"/>
  <c r="W66" i="5" s="1"/>
  <c r="X66" i="5"/>
  <c r="Y66" i="5"/>
  <c r="Z66" i="5"/>
  <c r="M66" i="5"/>
  <c r="L66" i="5"/>
  <c r="V65" i="5"/>
  <c r="W65" i="5" s="1"/>
  <c r="X65" i="5"/>
  <c r="Y65" i="5"/>
  <c r="Z65" i="5"/>
  <c r="M65" i="5"/>
  <c r="L65" i="5"/>
  <c r="V64" i="5"/>
  <c r="W64" i="5" s="1"/>
  <c r="X64" i="5"/>
  <c r="Y64" i="5"/>
  <c r="Z64" i="5"/>
  <c r="M64" i="5"/>
  <c r="L64" i="5"/>
  <c r="P64" i="5" s="1"/>
  <c r="Q64" i="5" s="1"/>
  <c r="O64" i="5"/>
  <c r="V63" i="5"/>
  <c r="W63" i="5" s="1"/>
  <c r="X63" i="5"/>
  <c r="Y63" i="5"/>
  <c r="Z63" i="5"/>
  <c r="M63" i="5"/>
  <c r="L63" i="5"/>
  <c r="X62" i="5"/>
  <c r="V62" i="5"/>
  <c r="W62" i="5" s="1"/>
  <c r="Y62" i="5"/>
  <c r="Z62" i="5"/>
  <c r="L62" i="5"/>
  <c r="P62" i="5" s="1"/>
  <c r="Q62" i="5" s="1"/>
  <c r="M62" i="5"/>
  <c r="O62" i="5"/>
  <c r="V61" i="5"/>
  <c r="W61" i="5" s="1"/>
  <c r="X61" i="5"/>
  <c r="Y61" i="5"/>
  <c r="Z61" i="5"/>
  <c r="L61" i="5"/>
  <c r="P61" i="5" s="1"/>
  <c r="Q61" i="5" s="1"/>
  <c r="M61" i="5"/>
  <c r="O61" i="5"/>
  <c r="V60" i="5"/>
  <c r="W60" i="5" s="1"/>
  <c r="X60" i="5"/>
  <c r="Y60" i="5"/>
  <c r="Z60" i="5"/>
  <c r="L60" i="5"/>
  <c r="P60" i="5" s="1"/>
  <c r="Q60" i="5" s="1"/>
  <c r="M60" i="5"/>
  <c r="O60" i="5"/>
  <c r="V59" i="5"/>
  <c r="W59" i="5" s="1"/>
  <c r="X59" i="5"/>
  <c r="Y59" i="5"/>
  <c r="Z59" i="5"/>
  <c r="L59" i="5"/>
  <c r="M59" i="5"/>
  <c r="O59" i="5"/>
  <c r="Y58" i="5"/>
  <c r="Z58" i="5"/>
  <c r="V58" i="5"/>
  <c r="W58" i="5" s="1"/>
  <c r="X58" i="5"/>
  <c r="M58" i="5"/>
  <c r="L58" i="5"/>
  <c r="P58" i="5" s="1"/>
  <c r="Q58" i="5" s="1"/>
  <c r="O58" i="5"/>
  <c r="Z57" i="5"/>
  <c r="V57" i="5"/>
  <c r="W57" i="5" s="1"/>
  <c r="X57" i="5"/>
  <c r="Y57" i="5"/>
  <c r="L57" i="5"/>
  <c r="O57" i="5" s="1"/>
  <c r="M57" i="5"/>
  <c r="Y56" i="5"/>
  <c r="V56" i="5"/>
  <c r="W56" i="5" s="1"/>
  <c r="X56" i="5"/>
  <c r="Z56" i="5"/>
  <c r="L56" i="5"/>
  <c r="O56" i="5" s="1"/>
  <c r="M56" i="5"/>
  <c r="Y55" i="5"/>
  <c r="Z55" i="5"/>
  <c r="V55" i="5"/>
  <c r="W55" i="5" s="1"/>
  <c r="X55" i="5"/>
  <c r="L55" i="5"/>
  <c r="M55" i="5"/>
  <c r="V54" i="5"/>
  <c r="W54" i="5" s="1"/>
  <c r="X54" i="5"/>
  <c r="Y54" i="5"/>
  <c r="M54" i="5"/>
  <c r="L54" i="5"/>
  <c r="V53" i="5"/>
  <c r="W53" i="5" s="1"/>
  <c r="X53" i="5"/>
  <c r="Y53" i="5"/>
  <c r="L53" i="5"/>
  <c r="M53" i="5"/>
  <c r="V52" i="5"/>
  <c r="W52" i="5" s="1"/>
  <c r="X52" i="5"/>
  <c r="Y52" i="5"/>
  <c r="Z52" i="5"/>
  <c r="L52" i="5"/>
  <c r="M52" i="5"/>
  <c r="V51" i="5"/>
  <c r="W51" i="5" s="1"/>
  <c r="X51" i="5"/>
  <c r="Y51" i="5"/>
  <c r="Z51" i="5"/>
  <c r="L51" i="5"/>
  <c r="M51" i="5"/>
  <c r="V50" i="5"/>
  <c r="W50" i="5" s="1"/>
  <c r="X50" i="5"/>
  <c r="Y50" i="5"/>
  <c r="Z50" i="5"/>
  <c r="M50" i="5"/>
  <c r="L50" i="5"/>
  <c r="V49" i="5"/>
  <c r="W49" i="5" s="1"/>
  <c r="X49" i="5"/>
  <c r="Y49" i="5"/>
  <c r="Z49" i="5"/>
  <c r="M49" i="5"/>
  <c r="L49" i="5"/>
  <c r="V48" i="5"/>
  <c r="W48" i="5" s="1"/>
  <c r="X48" i="5"/>
  <c r="Y48" i="5"/>
  <c r="Z48" i="5"/>
  <c r="L48" i="5"/>
  <c r="M48" i="5"/>
  <c r="V47" i="5"/>
  <c r="W47" i="5" s="1"/>
  <c r="X47" i="5"/>
  <c r="Y47" i="5"/>
  <c r="Z47" i="5"/>
  <c r="M47" i="5"/>
  <c r="L47" i="5"/>
  <c r="V46" i="5"/>
  <c r="W46" i="5" s="1"/>
  <c r="X46" i="5"/>
  <c r="Y46" i="5"/>
  <c r="Z46" i="5"/>
  <c r="M46" i="5"/>
  <c r="L46" i="5"/>
  <c r="V45" i="5"/>
  <c r="W45" i="5" s="1"/>
  <c r="X45" i="5"/>
  <c r="Y45" i="5"/>
  <c r="Z45" i="5"/>
  <c r="M45" i="5"/>
  <c r="L45" i="5"/>
  <c r="V44" i="5"/>
  <c r="W44" i="5" s="1"/>
  <c r="X44" i="5"/>
  <c r="Y44" i="5"/>
  <c r="Z44" i="5"/>
  <c r="M44" i="5"/>
  <c r="L44" i="5"/>
  <c r="V43" i="5"/>
  <c r="W43" i="5" s="1"/>
  <c r="X43" i="5"/>
  <c r="Y43" i="5"/>
  <c r="Z43" i="5"/>
  <c r="M43" i="5"/>
  <c r="L43" i="5"/>
  <c r="P43" i="5" s="1"/>
  <c r="Q43" i="5" s="1"/>
  <c r="O43" i="5"/>
  <c r="V42" i="5"/>
  <c r="W42" i="5" s="1"/>
  <c r="X42" i="5"/>
  <c r="Y42" i="5"/>
  <c r="Z42" i="5"/>
  <c r="M42" i="5"/>
  <c r="L42" i="5"/>
  <c r="V41" i="5"/>
  <c r="W41" i="5" s="1"/>
  <c r="X41" i="5"/>
  <c r="Y41" i="5"/>
  <c r="Z41" i="5"/>
  <c r="M41" i="5"/>
  <c r="L41" i="5"/>
  <c r="V40" i="5"/>
  <c r="W40" i="5" s="1"/>
  <c r="X40" i="5"/>
  <c r="Y40" i="5"/>
  <c r="Z40" i="5"/>
  <c r="M40" i="5"/>
  <c r="V39" i="5"/>
  <c r="W39" i="5" s="1"/>
  <c r="X39" i="5"/>
  <c r="Y39" i="5"/>
  <c r="Z39" i="5"/>
  <c r="V38" i="5"/>
  <c r="W38" i="5" s="1"/>
  <c r="X38" i="5"/>
  <c r="Y38" i="5"/>
  <c r="Z38" i="5"/>
  <c r="V37" i="5"/>
  <c r="W37" i="5" s="1"/>
  <c r="X37" i="5"/>
  <c r="Y37" i="5"/>
  <c r="Z37" i="5"/>
  <c r="V36" i="5"/>
  <c r="W36" i="5" s="1"/>
  <c r="X36" i="5"/>
  <c r="Y36" i="5"/>
  <c r="Z36" i="5"/>
  <c r="V35" i="5"/>
  <c r="W35" i="5" s="1"/>
  <c r="X35" i="5"/>
  <c r="Y35" i="5"/>
  <c r="Z35" i="5"/>
  <c r="V34" i="5"/>
  <c r="W34" i="5" s="1"/>
  <c r="X34" i="5"/>
  <c r="Y34" i="5"/>
  <c r="Z34" i="5"/>
  <c r="M34" i="5"/>
  <c r="L34" i="5"/>
  <c r="V33" i="5"/>
  <c r="W33" i="5" s="1"/>
  <c r="X33" i="5"/>
  <c r="Y33" i="5"/>
  <c r="Z33" i="5"/>
  <c r="M33" i="5"/>
  <c r="L33" i="5"/>
  <c r="V32" i="5"/>
  <c r="W32" i="5" s="1"/>
  <c r="X32" i="5"/>
  <c r="Y32" i="5"/>
  <c r="Z32" i="5"/>
  <c r="M32" i="5"/>
  <c r="L32" i="5"/>
  <c r="V31" i="5"/>
  <c r="W31" i="5" s="1"/>
  <c r="X31" i="5"/>
  <c r="Y31" i="5"/>
  <c r="Z31" i="5"/>
  <c r="M31" i="5"/>
  <c r="L31" i="5"/>
  <c r="V30" i="5"/>
  <c r="W30" i="5" s="1"/>
  <c r="X30" i="5"/>
  <c r="Y30" i="5"/>
  <c r="Z30" i="5"/>
  <c r="L30" i="5"/>
  <c r="O30" i="5"/>
  <c r="M30" i="5"/>
  <c r="V29" i="5"/>
  <c r="W29" i="5" s="1"/>
  <c r="X29" i="5"/>
  <c r="Y29" i="5"/>
  <c r="Z29" i="5"/>
  <c r="M29" i="5"/>
  <c r="L29" i="5"/>
  <c r="V28" i="5"/>
  <c r="W28" i="5" s="1"/>
  <c r="X28" i="5"/>
  <c r="Y28" i="5"/>
  <c r="Z28" i="5"/>
  <c r="M28" i="5"/>
  <c r="L28" i="5"/>
  <c r="V27" i="5"/>
  <c r="W27" i="5" s="1"/>
  <c r="X27" i="5"/>
  <c r="Y27" i="5"/>
  <c r="Z27" i="5"/>
  <c r="M27" i="5"/>
  <c r="L27" i="5"/>
  <c r="V26" i="5"/>
  <c r="W26" i="5" s="1"/>
  <c r="X26" i="5"/>
  <c r="Y26" i="5"/>
  <c r="Z26" i="5"/>
  <c r="M26" i="5"/>
  <c r="L26" i="5"/>
  <c r="P26" i="5" s="1"/>
  <c r="Q26" i="5" s="1"/>
  <c r="O26" i="5"/>
  <c r="V25" i="5"/>
  <c r="W25" i="5" s="1"/>
  <c r="X25" i="5"/>
  <c r="Y25" i="5"/>
  <c r="Z25" i="5"/>
  <c r="L25" i="5"/>
  <c r="M25" i="5"/>
  <c r="O25" i="5"/>
  <c r="V24" i="5"/>
  <c r="W24" i="5" s="1"/>
  <c r="X24" i="5"/>
  <c r="Y24" i="5"/>
  <c r="Z24" i="5"/>
  <c r="L24" i="5"/>
  <c r="O24" i="5"/>
  <c r="M24" i="5"/>
  <c r="V23" i="5"/>
  <c r="W23" i="5" s="1"/>
  <c r="X23" i="5"/>
  <c r="Y23" i="5"/>
  <c r="Z23" i="5"/>
  <c r="M23" i="5"/>
  <c r="L23" i="5"/>
  <c r="Y22" i="5"/>
  <c r="Z22" i="5"/>
  <c r="V22" i="5"/>
  <c r="W22" i="5" s="1"/>
  <c r="X22" i="5"/>
  <c r="M22" i="5"/>
  <c r="L22" i="5"/>
  <c r="V21" i="5"/>
  <c r="W21" i="5" s="1"/>
  <c r="X21" i="5"/>
  <c r="Y21" i="5"/>
  <c r="Z21" i="5"/>
  <c r="M21" i="5"/>
  <c r="L21" i="5"/>
  <c r="P21" i="5" s="1"/>
  <c r="Q21" i="5" s="1"/>
  <c r="O21" i="5"/>
  <c r="X20" i="5"/>
  <c r="V20" i="5"/>
  <c r="W20" i="5" s="1"/>
  <c r="Y20" i="5"/>
  <c r="Z20" i="5"/>
  <c r="M20" i="5"/>
  <c r="L20" i="5"/>
  <c r="Y19" i="5"/>
  <c r="V19" i="5"/>
  <c r="W19" i="5" s="1"/>
  <c r="X19" i="5"/>
  <c r="Z19" i="5"/>
  <c r="M19" i="5"/>
  <c r="L19" i="5"/>
  <c r="Y18" i="5"/>
  <c r="V18" i="5"/>
  <c r="W18" i="5" s="1"/>
  <c r="X18" i="5"/>
  <c r="Z18" i="5"/>
  <c r="L18" i="5"/>
  <c r="O18" i="5"/>
  <c r="M18" i="5"/>
  <c r="Y17" i="5"/>
  <c r="Z17" i="5"/>
  <c r="V17" i="5"/>
  <c r="W17" i="5" s="1"/>
  <c r="X17" i="5"/>
  <c r="L17" i="5"/>
  <c r="M17" i="5"/>
  <c r="O17" i="5"/>
  <c r="Z16" i="5"/>
  <c r="X16" i="5"/>
  <c r="V16" i="5"/>
  <c r="W16" i="5" s="1"/>
  <c r="Y16" i="5"/>
  <c r="M16" i="5"/>
  <c r="L16" i="5"/>
  <c r="V15" i="5"/>
  <c r="W15" i="5" s="1"/>
  <c r="X15" i="5"/>
  <c r="Y15" i="5"/>
  <c r="Z15" i="5"/>
  <c r="M15" i="5"/>
  <c r="L15" i="5"/>
  <c r="V14" i="5"/>
  <c r="W14" i="5" s="1"/>
  <c r="X14" i="5"/>
  <c r="Y14" i="5"/>
  <c r="Z14" i="5"/>
  <c r="M14" i="5"/>
  <c r="L14" i="5"/>
  <c r="V13" i="5"/>
  <c r="W13" i="5" s="1"/>
  <c r="X13" i="5"/>
  <c r="Y13" i="5"/>
  <c r="Z13" i="5"/>
  <c r="M13" i="5"/>
  <c r="L13" i="5"/>
  <c r="V12" i="5"/>
  <c r="W12" i="5" s="1"/>
  <c r="X12" i="5"/>
  <c r="Y12" i="5"/>
  <c r="Z12" i="5"/>
  <c r="M12" i="5"/>
  <c r="L12" i="5"/>
  <c r="V11" i="5"/>
  <c r="W11" i="5" s="1"/>
  <c r="X11" i="5"/>
  <c r="Y11" i="5"/>
  <c r="Z11" i="5"/>
  <c r="M11" i="5"/>
  <c r="L11" i="5"/>
  <c r="P11" i="5" s="1"/>
  <c r="Q11" i="5" s="1"/>
  <c r="O11" i="5"/>
  <c r="V10" i="5"/>
  <c r="W10" i="5" s="1"/>
  <c r="X10" i="5"/>
  <c r="Y10" i="5"/>
  <c r="Z10" i="5"/>
  <c r="M10" i="5"/>
  <c r="L10" i="5"/>
  <c r="V9" i="5"/>
  <c r="W9" i="5" s="1"/>
  <c r="X9" i="5"/>
  <c r="Y9" i="5"/>
  <c r="Z9" i="5"/>
  <c r="M9" i="5"/>
  <c r="L9" i="5"/>
  <c r="V8" i="5"/>
  <c r="W8" i="5" s="1"/>
  <c r="X8" i="5"/>
  <c r="Y8" i="5"/>
  <c r="Z8" i="5"/>
  <c r="M8" i="5"/>
  <c r="L8" i="5"/>
  <c r="P8" i="5" s="1"/>
  <c r="Q8" i="5" s="1"/>
  <c r="O8" i="5"/>
  <c r="V7" i="5"/>
  <c r="W7" i="5" s="1"/>
  <c r="X7" i="5"/>
  <c r="Y7" i="5"/>
  <c r="Z7" i="5"/>
  <c r="M7" i="5"/>
  <c r="L7" i="5"/>
  <c r="V6" i="5"/>
  <c r="W6" i="5" s="1"/>
  <c r="X6" i="5"/>
  <c r="Y6" i="5"/>
  <c r="Z6" i="5"/>
  <c r="M6" i="5"/>
  <c r="L6" i="5"/>
  <c r="V5" i="5"/>
  <c r="X5" i="5"/>
  <c r="Y5" i="5"/>
  <c r="Z5" i="5"/>
  <c r="B16" i="1"/>
  <c r="M5" i="5"/>
  <c r="L5" i="5"/>
  <c r="AB164" i="4"/>
  <c r="Z164" i="4"/>
  <c r="T164" i="4"/>
  <c r="X164" i="4" s="1"/>
  <c r="J164" i="6"/>
  <c r="AA164" i="4"/>
  <c r="F164" i="5"/>
  <c r="Y164" i="4"/>
  <c r="T163" i="4"/>
  <c r="X163" i="4" s="1"/>
  <c r="Z163" i="4"/>
  <c r="AB163" i="4"/>
  <c r="AA163" i="4"/>
  <c r="J163" i="6"/>
  <c r="Y163" i="4"/>
  <c r="F163" i="5"/>
  <c r="T162" i="4"/>
  <c r="X162" i="4" s="1"/>
  <c r="AB162" i="4"/>
  <c r="Z162" i="4"/>
  <c r="AA162" i="4"/>
  <c r="J162" i="6"/>
  <c r="Y162" i="4"/>
  <c r="F162" i="5"/>
  <c r="AB161" i="4"/>
  <c r="T161" i="4"/>
  <c r="X161" i="4" s="1"/>
  <c r="Z161" i="4"/>
  <c r="AA161" i="4"/>
  <c r="J161" i="6"/>
  <c r="Y161" i="4"/>
  <c r="F161" i="5"/>
  <c r="AB160" i="4"/>
  <c r="Z160" i="4"/>
  <c r="T160" i="4"/>
  <c r="X160" i="4" s="1"/>
  <c r="AA160" i="4"/>
  <c r="J160" i="6"/>
  <c r="Y160" i="4"/>
  <c r="F160" i="5"/>
  <c r="Z159" i="4"/>
  <c r="T159" i="4"/>
  <c r="X159" i="4" s="1"/>
  <c r="AB159" i="4"/>
  <c r="J159" i="6"/>
  <c r="AA159" i="4"/>
  <c r="Y159" i="4"/>
  <c r="F159" i="5"/>
  <c r="AB158" i="4"/>
  <c r="T158" i="4"/>
  <c r="X158" i="4" s="1"/>
  <c r="Z158" i="4"/>
  <c r="J158" i="6"/>
  <c r="AA158" i="4"/>
  <c r="F158" i="5"/>
  <c r="Y158" i="4"/>
  <c r="Z157" i="4"/>
  <c r="AB157" i="4"/>
  <c r="T157" i="4"/>
  <c r="X157" i="4" s="1"/>
  <c r="AA157" i="4"/>
  <c r="J157" i="6"/>
  <c r="F157" i="5"/>
  <c r="Y157" i="4"/>
  <c r="T156" i="4"/>
  <c r="X156" i="4" s="1"/>
  <c r="Z156" i="4"/>
  <c r="AB156" i="4"/>
  <c r="J156" i="6"/>
  <c r="AA156" i="4"/>
  <c r="F156" i="5"/>
  <c r="Y156" i="4"/>
  <c r="T155" i="4"/>
  <c r="X155" i="4" s="1"/>
  <c r="Z155" i="4"/>
  <c r="AB155" i="4"/>
  <c r="J155" i="6"/>
  <c r="AA155" i="4"/>
  <c r="Y155" i="4"/>
  <c r="F155" i="5"/>
  <c r="Z154" i="4"/>
  <c r="AB154" i="4"/>
  <c r="T154" i="4"/>
  <c r="X154" i="4" s="1"/>
  <c r="AA154" i="4"/>
  <c r="J154" i="6"/>
  <c r="F154" i="5"/>
  <c r="Y154" i="4"/>
  <c r="Z153" i="4"/>
  <c r="T153" i="4"/>
  <c r="X153" i="4" s="1"/>
  <c r="AB153" i="4"/>
  <c r="J153" i="6"/>
  <c r="AA153" i="4"/>
  <c r="F153" i="5"/>
  <c r="Y153" i="4"/>
  <c r="AB152" i="4"/>
  <c r="Z152" i="4"/>
  <c r="T152" i="4"/>
  <c r="X152" i="4" s="1"/>
  <c r="J152" i="6"/>
  <c r="AA152" i="4"/>
  <c r="F152" i="5"/>
  <c r="Y152" i="4"/>
  <c r="Z151" i="4"/>
  <c r="T151" i="4"/>
  <c r="X151" i="4" s="1"/>
  <c r="AB151" i="4"/>
  <c r="J151" i="6"/>
  <c r="AA151" i="4"/>
  <c r="F151" i="5"/>
  <c r="Y151" i="4"/>
  <c r="AB150" i="4"/>
  <c r="T150" i="4"/>
  <c r="X150" i="4" s="1"/>
  <c r="Z150" i="4"/>
  <c r="AA150" i="4"/>
  <c r="J150" i="6"/>
  <c r="Y150" i="4"/>
  <c r="F150" i="5"/>
  <c r="AB149" i="4"/>
  <c r="Z149" i="4"/>
  <c r="T149" i="4"/>
  <c r="X149" i="4" s="1"/>
  <c r="AA149" i="4"/>
  <c r="J149" i="6"/>
  <c r="Y149" i="4"/>
  <c r="F149" i="5"/>
  <c r="AB148" i="4"/>
  <c r="Z148" i="4"/>
  <c r="T148" i="4"/>
  <c r="X148" i="4" s="1"/>
  <c r="AA148" i="4"/>
  <c r="J148" i="6"/>
  <c r="Y148" i="4"/>
  <c r="F148" i="5"/>
  <c r="AB147" i="4"/>
  <c r="Z147" i="4"/>
  <c r="T147" i="4"/>
  <c r="X147" i="4" s="1"/>
  <c r="AA147" i="4"/>
  <c r="J147" i="6"/>
  <c r="Y147" i="4"/>
  <c r="F147" i="5"/>
  <c r="AB146" i="4"/>
  <c r="Z146" i="4"/>
  <c r="T146" i="4"/>
  <c r="X146" i="4" s="1"/>
  <c r="AA146" i="4"/>
  <c r="J146" i="6"/>
  <c r="Y146" i="4"/>
  <c r="F146" i="5"/>
  <c r="Z145" i="4"/>
  <c r="T145" i="4"/>
  <c r="X145" i="4" s="1"/>
  <c r="AB145" i="4"/>
  <c r="J145" i="6"/>
  <c r="AA145" i="4"/>
  <c r="Y145" i="4"/>
  <c r="F145" i="5"/>
  <c r="AB144" i="4"/>
  <c r="Z144" i="4"/>
  <c r="T144" i="4"/>
  <c r="X144" i="4" s="1"/>
  <c r="J144" i="6"/>
  <c r="AA144" i="4"/>
  <c r="Y144" i="4"/>
  <c r="F144" i="5"/>
  <c r="AB143" i="4"/>
  <c r="T143" i="4"/>
  <c r="X143" i="4" s="1"/>
  <c r="Z143" i="4"/>
  <c r="AA143" i="4"/>
  <c r="J143" i="6"/>
  <c r="Y143" i="4"/>
  <c r="F143" i="5"/>
  <c r="Z142" i="4"/>
  <c r="T142" i="4"/>
  <c r="X142" i="4" s="1"/>
  <c r="AB142" i="4"/>
  <c r="AA142" i="4"/>
  <c r="J142" i="6"/>
  <c r="Y142" i="4"/>
  <c r="F142" i="5"/>
  <c r="AB141" i="4"/>
  <c r="Z141" i="4"/>
  <c r="T141" i="4"/>
  <c r="X141" i="4" s="1"/>
  <c r="AA141" i="4"/>
  <c r="J141" i="6"/>
  <c r="F141" i="5"/>
  <c r="Y141" i="4"/>
  <c r="AB140" i="4"/>
  <c r="Z140" i="4"/>
  <c r="T140" i="4"/>
  <c r="X140" i="4" s="1"/>
  <c r="J140" i="6"/>
  <c r="AA140" i="4"/>
  <c r="F140" i="5"/>
  <c r="Y140" i="4"/>
  <c r="T139" i="4"/>
  <c r="X139" i="4" s="1"/>
  <c r="AB139" i="4"/>
  <c r="Z139" i="4"/>
  <c r="J139" i="6"/>
  <c r="AA139" i="4"/>
  <c r="Y139" i="4"/>
  <c r="F139" i="5"/>
  <c r="AB138" i="4"/>
  <c r="Z138" i="4"/>
  <c r="T138" i="4"/>
  <c r="X138" i="4" s="1"/>
  <c r="J138" i="6"/>
  <c r="AA138" i="4"/>
  <c r="F138" i="5"/>
  <c r="Y138" i="4"/>
  <c r="AB137" i="4"/>
  <c r="Z137" i="4"/>
  <c r="T137" i="4"/>
  <c r="X137" i="4" s="1"/>
  <c r="J137" i="6"/>
  <c r="AA137" i="4"/>
  <c r="F137" i="5"/>
  <c r="Y137" i="4"/>
  <c r="Z136" i="4"/>
  <c r="AB136" i="4"/>
  <c r="T136" i="4"/>
  <c r="X136" i="4" s="1"/>
  <c r="AA136" i="4"/>
  <c r="J136" i="6"/>
  <c r="F136" i="5"/>
  <c r="Y136" i="4"/>
  <c r="AB135" i="4"/>
  <c r="Z135" i="4"/>
  <c r="T135" i="4"/>
  <c r="X135" i="4" s="1"/>
  <c r="J135" i="6"/>
  <c r="AA135" i="4"/>
  <c r="F135" i="5"/>
  <c r="Y135" i="4"/>
  <c r="AB134" i="4"/>
  <c r="Z134" i="4"/>
  <c r="T134" i="4"/>
  <c r="X134" i="4" s="1"/>
  <c r="J134" i="6"/>
  <c r="AA134" i="4"/>
  <c r="F134" i="5"/>
  <c r="Y134" i="4"/>
  <c r="AB133" i="4"/>
  <c r="Z133" i="4"/>
  <c r="T133" i="4"/>
  <c r="X133" i="4" s="1"/>
  <c r="J133" i="6"/>
  <c r="AA133" i="4"/>
  <c r="Y133" i="4"/>
  <c r="F133" i="5"/>
  <c r="AB132" i="4"/>
  <c r="Z132" i="4"/>
  <c r="T132" i="4"/>
  <c r="X132" i="4" s="1"/>
  <c r="AA132" i="4"/>
  <c r="J132" i="6"/>
  <c r="Y132" i="4"/>
  <c r="F132" i="5"/>
  <c r="T131" i="4"/>
  <c r="X131" i="4" s="1"/>
  <c r="AB131" i="4"/>
  <c r="Z131" i="4"/>
  <c r="AA131" i="4"/>
  <c r="J131" i="6"/>
  <c r="F131" i="5"/>
  <c r="Y131" i="4"/>
  <c r="AB130" i="4"/>
  <c r="Z130" i="4"/>
  <c r="T130" i="4"/>
  <c r="X130" i="4" s="1"/>
  <c r="J130" i="6"/>
  <c r="AA130" i="4"/>
  <c r="F130" i="5"/>
  <c r="Y130" i="4"/>
  <c r="AB129" i="4"/>
  <c r="Z129" i="4"/>
  <c r="T129" i="4"/>
  <c r="X129" i="4" s="1"/>
  <c r="J129" i="6"/>
  <c r="AA129" i="4"/>
  <c r="F129" i="5"/>
  <c r="Y129" i="4"/>
  <c r="T128" i="4"/>
  <c r="X128" i="4" s="1"/>
  <c r="Z128" i="4"/>
  <c r="AB128" i="4"/>
  <c r="J128" i="6"/>
  <c r="AA128" i="4"/>
  <c r="Y128" i="4"/>
  <c r="F128" i="5"/>
  <c r="Z127" i="4"/>
  <c r="T127" i="4"/>
  <c r="X127" i="4" s="1"/>
  <c r="AB127" i="4"/>
  <c r="J127" i="6"/>
  <c r="AA127" i="4"/>
  <c r="F127" i="5"/>
  <c r="Y127" i="4"/>
  <c r="Z126" i="4"/>
  <c r="T126" i="4"/>
  <c r="X126" i="4" s="1"/>
  <c r="AB126" i="4"/>
  <c r="AA126" i="4"/>
  <c r="J126" i="6"/>
  <c r="Y126" i="4"/>
  <c r="F126" i="5"/>
  <c r="AB125" i="4"/>
  <c r="Z125" i="4"/>
  <c r="T125" i="4"/>
  <c r="X125" i="4" s="1"/>
  <c r="J125" i="6"/>
  <c r="AA125" i="4"/>
  <c r="F125" i="5"/>
  <c r="Y125" i="4"/>
  <c r="AB124" i="4"/>
  <c r="Z124" i="4"/>
  <c r="T124" i="4"/>
  <c r="X124" i="4" s="1"/>
  <c r="J124" i="6"/>
  <c r="AA124" i="4"/>
  <c r="F124" i="5"/>
  <c r="Y124" i="4"/>
  <c r="Z123" i="4"/>
  <c r="T123" i="4"/>
  <c r="X123" i="4" s="1"/>
  <c r="AB123" i="4"/>
  <c r="J123" i="6"/>
  <c r="AA123" i="4"/>
  <c r="Y123" i="4"/>
  <c r="F123" i="5"/>
  <c r="AB122" i="4"/>
  <c r="T122" i="4"/>
  <c r="X122" i="4" s="1"/>
  <c r="Z122" i="4"/>
  <c r="AA122" i="4"/>
  <c r="J122" i="6"/>
  <c r="Y122" i="4"/>
  <c r="F122" i="5"/>
  <c r="Z121" i="4"/>
  <c r="T121" i="4"/>
  <c r="X121" i="4" s="1"/>
  <c r="AB121" i="4"/>
  <c r="AA121" i="4"/>
  <c r="J121" i="6"/>
  <c r="Y121" i="4"/>
  <c r="F121" i="5"/>
  <c r="T120" i="4"/>
  <c r="X120" i="4" s="1"/>
  <c r="AB120" i="4"/>
  <c r="Z120" i="4"/>
  <c r="J120" i="6"/>
  <c r="AA120" i="4"/>
  <c r="F120" i="5"/>
  <c r="Y120" i="4"/>
  <c r="AB119" i="4"/>
  <c r="Z119" i="4"/>
  <c r="T119" i="4"/>
  <c r="X119" i="4" s="1"/>
  <c r="AA119" i="4"/>
  <c r="J119" i="6"/>
  <c r="F119" i="5"/>
  <c r="Y119" i="4"/>
  <c r="AB118" i="4"/>
  <c r="Z118" i="4"/>
  <c r="T118" i="4"/>
  <c r="X118" i="4" s="1"/>
  <c r="AA118" i="4"/>
  <c r="J118" i="6"/>
  <c r="F118" i="5"/>
  <c r="Y118" i="4"/>
  <c r="T117" i="4"/>
  <c r="X117" i="4" s="1"/>
  <c r="AB117" i="4"/>
  <c r="Z117" i="4"/>
  <c r="J117" i="6"/>
  <c r="AA117" i="4"/>
  <c r="Y117" i="4"/>
  <c r="F117" i="5"/>
  <c r="Z116" i="4"/>
  <c r="AB116" i="4"/>
  <c r="T116" i="4"/>
  <c r="X116" i="4" s="1"/>
  <c r="J116" i="6"/>
  <c r="AA116" i="4"/>
  <c r="Y116" i="4"/>
  <c r="F116" i="5"/>
  <c r="T115" i="4"/>
  <c r="X115" i="4" s="1"/>
  <c r="Z115" i="4"/>
  <c r="AB115" i="4"/>
  <c r="J115" i="6"/>
  <c r="AA115" i="4"/>
  <c r="Y115" i="4"/>
  <c r="F115" i="5"/>
  <c r="T114" i="4"/>
  <c r="X114" i="4" s="1"/>
  <c r="AB114" i="4"/>
  <c r="Z114" i="4"/>
  <c r="AA114" i="4"/>
  <c r="J114" i="6"/>
  <c r="Y114" i="4"/>
  <c r="F114" i="5"/>
  <c r="T113" i="4"/>
  <c r="X113" i="4" s="1"/>
  <c r="Z113" i="4"/>
  <c r="AB113" i="4"/>
  <c r="J113" i="6"/>
  <c r="AA113" i="4"/>
  <c r="Y113" i="4"/>
  <c r="F113" i="5"/>
  <c r="AB112" i="4"/>
  <c r="Z112" i="4"/>
  <c r="T112" i="4"/>
  <c r="X112" i="4" s="1"/>
  <c r="AA112" i="4"/>
  <c r="J112" i="6"/>
  <c r="Y112" i="4"/>
  <c r="F112" i="5"/>
  <c r="AB111" i="4"/>
  <c r="Z111" i="4"/>
  <c r="T111" i="4"/>
  <c r="X111" i="4" s="1"/>
  <c r="AA111" i="4"/>
  <c r="J111" i="6"/>
  <c r="Y111" i="4"/>
  <c r="F111" i="5"/>
  <c r="AB110" i="4"/>
  <c r="Z110" i="4"/>
  <c r="T110" i="4"/>
  <c r="X110" i="4" s="1"/>
  <c r="AA110" i="4"/>
  <c r="J110" i="6"/>
  <c r="Y110" i="4"/>
  <c r="F110" i="5"/>
  <c r="T109" i="4"/>
  <c r="X109" i="4" s="1"/>
  <c r="AB109" i="4"/>
  <c r="Z109" i="4"/>
  <c r="J109" i="6"/>
  <c r="AA109" i="4"/>
  <c r="Y109" i="4"/>
  <c r="F109" i="5"/>
  <c r="AB108" i="4"/>
  <c r="Z108" i="4"/>
  <c r="J108" i="6"/>
  <c r="AA108" i="4"/>
  <c r="Y108" i="4"/>
  <c r="F108" i="5"/>
  <c r="T107" i="4"/>
  <c r="X107" i="4" s="1"/>
  <c r="AB107" i="4"/>
  <c r="Z107" i="4"/>
  <c r="AA107" i="4"/>
  <c r="J107" i="6"/>
  <c r="F107" i="5"/>
  <c r="Y107" i="4"/>
  <c r="Z106" i="4"/>
  <c r="B15" i="1"/>
  <c r="F15" i="1" s="1"/>
  <c r="AB106" i="4"/>
  <c r="J106" i="6"/>
  <c r="AA106" i="4"/>
  <c r="Y106" i="4"/>
  <c r="F106" i="5"/>
  <c r="Z105" i="4"/>
  <c r="T105" i="4"/>
  <c r="X105" i="4" s="1"/>
  <c r="AB104" i="4"/>
  <c r="Z104" i="4"/>
  <c r="T104" i="4"/>
  <c r="X104" i="4" s="1"/>
  <c r="T103" i="4"/>
  <c r="X103" i="4" s="1"/>
  <c r="Z103" i="4"/>
  <c r="AB103" i="4"/>
  <c r="AA103" i="4"/>
  <c r="J103" i="6"/>
  <c r="AB102" i="4"/>
  <c r="Z102" i="4"/>
  <c r="T102" i="4"/>
  <c r="X102" i="4" s="1"/>
  <c r="AA102" i="4"/>
  <c r="J102" i="6"/>
  <c r="AB101" i="4"/>
  <c r="Z101" i="4"/>
  <c r="T101" i="4"/>
  <c r="X101" i="4" s="1"/>
  <c r="AA101" i="4"/>
  <c r="J101" i="6"/>
  <c r="AB100" i="4"/>
  <c r="T100" i="4"/>
  <c r="X100" i="4" s="1"/>
  <c r="Z100" i="4"/>
  <c r="J100" i="6"/>
  <c r="AA100" i="4"/>
  <c r="T99" i="4"/>
  <c r="X99" i="4" s="1"/>
  <c r="AB99" i="4"/>
  <c r="Z99" i="4"/>
  <c r="AA99" i="4"/>
  <c r="J99" i="6"/>
  <c r="Z98" i="4"/>
  <c r="AB98" i="4"/>
  <c r="T98" i="4"/>
  <c r="X98" i="4" s="1"/>
  <c r="AA98" i="4"/>
  <c r="J98" i="6"/>
  <c r="AB97" i="4"/>
  <c r="Z97" i="4"/>
  <c r="T97" i="4"/>
  <c r="X97" i="4" s="1"/>
  <c r="AA97" i="4"/>
  <c r="J97" i="6"/>
  <c r="T96" i="4"/>
  <c r="X96" i="4" s="1"/>
  <c r="Z96" i="4"/>
  <c r="AB96" i="4"/>
  <c r="J96" i="6"/>
  <c r="AA96" i="4"/>
  <c r="AB95" i="4"/>
  <c r="T95" i="4"/>
  <c r="X95" i="4" s="1"/>
  <c r="Z95" i="4"/>
  <c r="J95" i="6"/>
  <c r="AA95" i="4"/>
  <c r="T94" i="4"/>
  <c r="X94" i="4" s="1"/>
  <c r="Z94" i="4"/>
  <c r="AB94" i="4"/>
  <c r="AA94" i="4"/>
  <c r="J94" i="6"/>
  <c r="AB93" i="4"/>
  <c r="Z93" i="4"/>
  <c r="T93" i="4"/>
  <c r="X93" i="4" s="1"/>
  <c r="AA93" i="4"/>
  <c r="J93" i="6"/>
  <c r="AB92" i="4"/>
  <c r="Z92" i="4"/>
  <c r="T92" i="4"/>
  <c r="X92" i="4" s="1"/>
  <c r="AA92" i="4"/>
  <c r="J92" i="6"/>
  <c r="AB91" i="4"/>
  <c r="Z91" i="4"/>
  <c r="T91" i="4"/>
  <c r="X91" i="4" s="1"/>
  <c r="AA91" i="4"/>
  <c r="J91" i="6"/>
  <c r="T90" i="4"/>
  <c r="X90" i="4" s="1"/>
  <c r="AB90" i="4"/>
  <c r="Z90" i="4"/>
  <c r="J90" i="6"/>
  <c r="AA90" i="4"/>
  <c r="Z89" i="4"/>
  <c r="T89" i="4"/>
  <c r="X89" i="4" s="1"/>
  <c r="AB89" i="4"/>
  <c r="AA89" i="4"/>
  <c r="J89" i="6"/>
  <c r="AB88" i="4"/>
  <c r="Z88" i="4"/>
  <c r="T88" i="4"/>
  <c r="X88" i="4" s="1"/>
  <c r="AA88" i="4"/>
  <c r="J88" i="6"/>
  <c r="Z87" i="4"/>
  <c r="T87" i="4"/>
  <c r="X87" i="4" s="1"/>
  <c r="AB87" i="4"/>
  <c r="AA87" i="4"/>
  <c r="J87" i="6"/>
  <c r="T86" i="4"/>
  <c r="X86" i="4" s="1"/>
  <c r="AB86" i="4"/>
  <c r="Z86" i="4"/>
  <c r="AA86" i="4"/>
  <c r="J86" i="6"/>
  <c r="AB85" i="4"/>
  <c r="Z85" i="4"/>
  <c r="T85" i="4"/>
  <c r="X85" i="4" s="1"/>
  <c r="AA85" i="4"/>
  <c r="J85" i="6"/>
  <c r="AB84" i="4"/>
  <c r="Z84" i="4"/>
  <c r="T84" i="4"/>
  <c r="X84" i="4" s="1"/>
  <c r="AA84" i="4"/>
  <c r="J84" i="6"/>
  <c r="AB83" i="4"/>
  <c r="T83" i="4"/>
  <c r="X83" i="4" s="1"/>
  <c r="Z83" i="4"/>
  <c r="AA83" i="4"/>
  <c r="J83" i="6"/>
  <c r="AB82" i="4"/>
  <c r="T82" i="4"/>
  <c r="X82" i="4" s="1"/>
  <c r="Z82" i="4"/>
  <c r="J82" i="6"/>
  <c r="AA82" i="4"/>
  <c r="AB81" i="4"/>
  <c r="Z81" i="4"/>
  <c r="T81" i="4"/>
  <c r="X81" i="4" s="1"/>
  <c r="J81" i="6"/>
  <c r="AA81" i="4"/>
  <c r="T80" i="4"/>
  <c r="X80" i="4" s="1"/>
  <c r="Z80" i="4"/>
  <c r="AB80" i="4"/>
  <c r="J80" i="6"/>
  <c r="AA80" i="4"/>
  <c r="T79" i="4"/>
  <c r="X79" i="4" s="1"/>
  <c r="Z79" i="4"/>
  <c r="AB79" i="4"/>
  <c r="J79" i="6"/>
  <c r="AA79" i="4"/>
  <c r="T78" i="4"/>
  <c r="X78" i="4" s="1"/>
  <c r="AB78" i="4"/>
  <c r="Z78" i="4"/>
  <c r="J78" i="6"/>
  <c r="AA78" i="4"/>
  <c r="Z77" i="4"/>
  <c r="AB77" i="4"/>
  <c r="T77" i="4"/>
  <c r="X77" i="4" s="1"/>
  <c r="J77" i="6"/>
  <c r="AA77" i="4"/>
  <c r="Z76" i="4"/>
  <c r="AB76" i="4"/>
  <c r="T76" i="4"/>
  <c r="X76" i="4" s="1"/>
  <c r="AA76" i="4"/>
  <c r="J76" i="6"/>
  <c r="T75" i="4"/>
  <c r="X75" i="4" s="1"/>
  <c r="Z75" i="4"/>
  <c r="AB75" i="4"/>
  <c r="AA75" i="4"/>
  <c r="J75" i="6"/>
  <c r="T74" i="4"/>
  <c r="X74" i="4" s="1"/>
  <c r="AB74" i="4"/>
  <c r="Z74" i="4"/>
  <c r="J74" i="6"/>
  <c r="AA74" i="4"/>
  <c r="AB73" i="4"/>
  <c r="Z73" i="4"/>
  <c r="T73" i="4"/>
  <c r="X73" i="4" s="1"/>
  <c r="AA73" i="4"/>
  <c r="J73" i="6"/>
  <c r="AB72" i="4"/>
  <c r="Z72" i="4"/>
  <c r="T72" i="4"/>
  <c r="X72" i="4" s="1"/>
  <c r="AA72" i="4"/>
  <c r="J72" i="6"/>
  <c r="AB71" i="4"/>
  <c r="Z71" i="4"/>
  <c r="T71" i="4"/>
  <c r="X71" i="4" s="1"/>
  <c r="J71" i="6"/>
  <c r="AA71" i="4"/>
  <c r="AB70" i="4"/>
  <c r="Z70" i="4"/>
  <c r="T70" i="4"/>
  <c r="X70" i="4" s="1"/>
  <c r="AA70" i="4"/>
  <c r="J70" i="6"/>
  <c r="Z69" i="4"/>
  <c r="T69" i="4"/>
  <c r="X69" i="4" s="1"/>
  <c r="AB69" i="4"/>
  <c r="AA69" i="4"/>
  <c r="J69" i="6"/>
  <c r="T68" i="4"/>
  <c r="X68" i="4" s="1"/>
  <c r="AB68" i="4"/>
  <c r="Z68" i="4"/>
  <c r="AA68" i="4"/>
  <c r="J68" i="6"/>
  <c r="AB67" i="4"/>
  <c r="Z67" i="4"/>
  <c r="T67" i="4"/>
  <c r="X67" i="4" s="1"/>
  <c r="AA67" i="4"/>
  <c r="J67" i="6"/>
  <c r="AB66" i="4"/>
  <c r="T66" i="4"/>
  <c r="X66" i="4" s="1"/>
  <c r="Z66" i="4"/>
  <c r="AA66" i="4"/>
  <c r="J66" i="6"/>
  <c r="Z65" i="4"/>
  <c r="AB65" i="4"/>
  <c r="T65" i="4"/>
  <c r="X65" i="4" s="1"/>
  <c r="AA65" i="4"/>
  <c r="J65" i="6"/>
  <c r="AB64" i="4"/>
  <c r="Z64" i="4"/>
  <c r="T64" i="4"/>
  <c r="X64" i="4" s="1"/>
  <c r="AA64" i="4"/>
  <c r="J64" i="6"/>
  <c r="AB63" i="4"/>
  <c r="Z63" i="4"/>
  <c r="T63" i="4"/>
  <c r="X63" i="4" s="1"/>
  <c r="J63" i="6"/>
  <c r="AA63" i="4"/>
  <c r="T62" i="4"/>
  <c r="X62" i="4" s="1"/>
  <c r="AB62" i="4"/>
  <c r="Z62" i="4"/>
  <c r="J62" i="6"/>
  <c r="AA62" i="4"/>
  <c r="T61" i="4"/>
  <c r="X61" i="4" s="1"/>
  <c r="Z61" i="4"/>
  <c r="AB61" i="4"/>
  <c r="AA61" i="4"/>
  <c r="J61" i="6"/>
  <c r="AB60" i="4"/>
  <c r="Z60" i="4"/>
  <c r="T60" i="4"/>
  <c r="X60" i="4" s="1"/>
  <c r="AA60" i="4"/>
  <c r="J60" i="6"/>
  <c r="AB59" i="4"/>
  <c r="Z59" i="4"/>
  <c r="T59" i="4"/>
  <c r="X59" i="4" s="1"/>
  <c r="AA59" i="4"/>
  <c r="J59" i="6"/>
  <c r="T58" i="4"/>
  <c r="X58" i="4" s="1"/>
  <c r="Z58" i="4"/>
  <c r="AB58" i="4"/>
  <c r="J58" i="6"/>
  <c r="AA58" i="4"/>
  <c r="AB57" i="4"/>
  <c r="Z57" i="4"/>
  <c r="T57" i="4"/>
  <c r="X57" i="4" s="1"/>
  <c r="J57" i="6"/>
  <c r="AA57" i="4"/>
  <c r="AB56" i="4"/>
  <c r="T56" i="4"/>
  <c r="X56" i="4" s="1"/>
  <c r="Z56" i="4"/>
  <c r="AA56" i="4"/>
  <c r="J56" i="6"/>
  <c r="Z55" i="4"/>
  <c r="AB55" i="4"/>
  <c r="T55" i="4"/>
  <c r="X55" i="4" s="1"/>
  <c r="AA55" i="4"/>
  <c r="J55" i="6"/>
  <c r="Y55" i="4"/>
  <c r="F55" i="5"/>
  <c r="T54" i="4"/>
  <c r="X54" i="4" s="1"/>
  <c r="Z54" i="4"/>
  <c r="AB54" i="4"/>
  <c r="AA54" i="4"/>
  <c r="J54" i="6"/>
  <c r="Y54" i="4"/>
  <c r="F54" i="5"/>
  <c r="AB53" i="4"/>
  <c r="T53" i="4"/>
  <c r="X53" i="4" s="1"/>
  <c r="Z53" i="4"/>
  <c r="AA53" i="4"/>
  <c r="J53" i="6"/>
  <c r="F53" i="5"/>
  <c r="Y53" i="4"/>
  <c r="AB52" i="4"/>
  <c r="Z52" i="4"/>
  <c r="T52" i="4"/>
  <c r="X52" i="4" s="1"/>
  <c r="J52" i="6"/>
  <c r="AA52" i="4"/>
  <c r="Y52" i="4"/>
  <c r="F52" i="5"/>
  <c r="Z51" i="4"/>
  <c r="T51" i="4"/>
  <c r="X51" i="4" s="1"/>
  <c r="AB51" i="4"/>
  <c r="J51" i="6"/>
  <c r="AA51" i="4"/>
  <c r="F51" i="5"/>
  <c r="Y51" i="4"/>
  <c r="Z50" i="4"/>
  <c r="AB50" i="4"/>
  <c r="T50" i="4"/>
  <c r="X50" i="4" s="1"/>
  <c r="AA50" i="4"/>
  <c r="J50" i="6"/>
  <c r="F50" i="5"/>
  <c r="Y50" i="4"/>
  <c r="AB49" i="4"/>
  <c r="Z49" i="4"/>
  <c r="T49" i="4"/>
  <c r="X49" i="4" s="1"/>
  <c r="AA49" i="4"/>
  <c r="J49" i="6"/>
  <c r="F49" i="5"/>
  <c r="Y49" i="4"/>
  <c r="T48" i="4"/>
  <c r="X48" i="4" s="1"/>
  <c r="AB48" i="4"/>
  <c r="Z48" i="4"/>
  <c r="AA48" i="4"/>
  <c r="J48" i="6"/>
  <c r="F48" i="5"/>
  <c r="Y48" i="4"/>
  <c r="AB47" i="4"/>
  <c r="Z47" i="4"/>
  <c r="T47" i="4"/>
  <c r="X47" i="4" s="1"/>
  <c r="AA47" i="4"/>
  <c r="J47" i="6"/>
  <c r="Y47" i="4"/>
  <c r="F47" i="5"/>
  <c r="T46" i="4"/>
  <c r="X46" i="4" s="1"/>
  <c r="Z46" i="4"/>
  <c r="AB46" i="4"/>
  <c r="J46" i="6"/>
  <c r="AA46" i="4"/>
  <c r="F46" i="5"/>
  <c r="Y46" i="4"/>
  <c r="T45" i="4"/>
  <c r="X45" i="4" s="1"/>
  <c r="AB45" i="4"/>
  <c r="Z45" i="4"/>
  <c r="AA45" i="4"/>
  <c r="J45" i="6"/>
  <c r="F45" i="5"/>
  <c r="Y45" i="4"/>
  <c r="T44" i="4"/>
  <c r="X44" i="4" s="1"/>
  <c r="AB44" i="4"/>
  <c r="Z44" i="4"/>
  <c r="J44" i="6"/>
  <c r="AA44" i="4"/>
  <c r="Z43" i="4"/>
  <c r="AB43" i="4"/>
  <c r="T43" i="4"/>
  <c r="X43" i="4" s="1"/>
  <c r="AA43" i="4"/>
  <c r="J43" i="6"/>
  <c r="T42" i="4"/>
  <c r="X42" i="4" s="1"/>
  <c r="AB42" i="4"/>
  <c r="Z42" i="4"/>
  <c r="AA42" i="4"/>
  <c r="J42" i="6"/>
  <c r="T41" i="4"/>
  <c r="X41" i="4" s="1"/>
  <c r="Z41" i="4"/>
  <c r="AB41" i="4"/>
  <c r="AA41" i="4"/>
  <c r="J41" i="6"/>
  <c r="Z40" i="4"/>
  <c r="T40" i="4"/>
  <c r="X40" i="4" s="1"/>
  <c r="AB40" i="4"/>
  <c r="AA40" i="4"/>
  <c r="J40" i="6"/>
  <c r="AB39" i="4"/>
  <c r="Z39" i="4"/>
  <c r="T39" i="4"/>
  <c r="X39" i="4" s="1"/>
  <c r="J39" i="6"/>
  <c r="AA39" i="4"/>
  <c r="AB38" i="4"/>
  <c r="Z38" i="4"/>
  <c r="T38" i="4"/>
  <c r="X38" i="4" s="1"/>
  <c r="J38" i="6"/>
  <c r="AA38" i="4"/>
  <c r="Z37" i="4"/>
  <c r="T37" i="4"/>
  <c r="X37" i="4" s="1"/>
  <c r="AB37" i="4"/>
  <c r="AA37" i="4"/>
  <c r="J37" i="6"/>
  <c r="T36" i="4"/>
  <c r="X36" i="4" s="1"/>
  <c r="AB36" i="4"/>
  <c r="Z36" i="4"/>
  <c r="AA36" i="4"/>
  <c r="J36" i="6"/>
  <c r="AB35" i="4"/>
  <c r="Z35" i="4"/>
  <c r="T35" i="4"/>
  <c r="X35" i="4" s="1"/>
  <c r="J35" i="6"/>
  <c r="AA35" i="4"/>
  <c r="AB34" i="4"/>
  <c r="Z34" i="4"/>
  <c r="T34" i="4"/>
  <c r="X34" i="4" s="1"/>
  <c r="J34" i="6"/>
  <c r="AA34" i="4"/>
  <c r="T33" i="4"/>
  <c r="X33" i="4" s="1"/>
  <c r="Z33" i="4"/>
  <c r="AB33" i="4"/>
  <c r="AA33" i="4"/>
  <c r="J33" i="6"/>
  <c r="Z32" i="4"/>
  <c r="AB32" i="4"/>
  <c r="T32" i="4"/>
  <c r="X32" i="4" s="1"/>
  <c r="AA32" i="4"/>
  <c r="J32" i="6"/>
  <c r="AB31" i="4"/>
  <c r="Z31" i="4"/>
  <c r="T31" i="4"/>
  <c r="X31" i="4" s="1"/>
  <c r="J31" i="6"/>
  <c r="AA31" i="4"/>
  <c r="AB30" i="4"/>
  <c r="Z30" i="4"/>
  <c r="T30" i="4"/>
  <c r="X30" i="4" s="1"/>
  <c r="J30" i="6"/>
  <c r="AA30" i="4"/>
  <c r="Z29" i="4"/>
  <c r="AB29" i="4"/>
  <c r="T29" i="4"/>
  <c r="X29" i="4" s="1"/>
  <c r="J29" i="6"/>
  <c r="AA29" i="4"/>
  <c r="T28" i="4"/>
  <c r="X28" i="4" s="1"/>
  <c r="Z28" i="4"/>
  <c r="AB28" i="4"/>
  <c r="AA28" i="4"/>
  <c r="J28" i="6"/>
  <c r="Z27" i="4"/>
  <c r="T27" i="4"/>
  <c r="X27" i="4" s="1"/>
  <c r="AB27" i="4"/>
  <c r="AA27" i="4"/>
  <c r="J27" i="6"/>
  <c r="AB26" i="4"/>
  <c r="Z26" i="4"/>
  <c r="T26" i="4"/>
  <c r="X26" i="4" s="1"/>
  <c r="AA26" i="4"/>
  <c r="J26" i="6"/>
  <c r="AB25" i="4"/>
  <c r="Z25" i="4"/>
  <c r="T25" i="4"/>
  <c r="X25" i="4" s="1"/>
  <c r="AA25" i="4"/>
  <c r="J25" i="6"/>
  <c r="AB24" i="4"/>
  <c r="Z24" i="4"/>
  <c r="T24" i="4"/>
  <c r="X24" i="4" s="1"/>
  <c r="AA24" i="4"/>
  <c r="J24" i="6"/>
  <c r="AB23" i="4"/>
  <c r="T23" i="4"/>
  <c r="X23" i="4" s="1"/>
  <c r="Z23" i="4"/>
  <c r="AA23" i="4"/>
  <c r="J23" i="6"/>
  <c r="T22" i="4"/>
  <c r="X22" i="4" s="1"/>
  <c r="Z22" i="4"/>
  <c r="T21" i="4"/>
  <c r="X21" i="4" s="1"/>
  <c r="Z21" i="4"/>
  <c r="AB21" i="4"/>
  <c r="Z20" i="4"/>
  <c r="T20" i="4"/>
  <c r="X20" i="4" s="1"/>
  <c r="AB20" i="4"/>
  <c r="AB19" i="4"/>
  <c r="Z19" i="4"/>
  <c r="T19" i="4"/>
  <c r="X19" i="4" s="1"/>
  <c r="T18" i="4"/>
  <c r="X18" i="4" s="1"/>
  <c r="AB18" i="4"/>
  <c r="Z18" i="4"/>
  <c r="T17" i="4"/>
  <c r="X17" i="4" s="1"/>
  <c r="AB17" i="4"/>
  <c r="Z17" i="4"/>
  <c r="T16" i="4"/>
  <c r="X16" i="4" s="1"/>
  <c r="Z16" i="4"/>
  <c r="AB16" i="4"/>
  <c r="Y16" i="4"/>
  <c r="F16" i="5"/>
  <c r="AB15" i="4"/>
  <c r="T15" i="4"/>
  <c r="X15" i="4" s="1"/>
  <c r="Z15" i="4"/>
  <c r="AA15" i="4"/>
  <c r="J15" i="6"/>
  <c r="Z14" i="4"/>
  <c r="T14" i="4"/>
  <c r="X14" i="4" s="1"/>
  <c r="AB14" i="4"/>
  <c r="J14" i="6"/>
  <c r="AA14" i="4"/>
  <c r="AB13" i="4"/>
  <c r="T13" i="4"/>
  <c r="X13" i="4" s="1"/>
  <c r="Z13" i="4"/>
  <c r="AA13" i="4"/>
  <c r="J13" i="6"/>
  <c r="T12" i="4"/>
  <c r="X12" i="4" s="1"/>
  <c r="AB12" i="4"/>
  <c r="Z12" i="4"/>
  <c r="AA12" i="4"/>
  <c r="J12" i="6"/>
  <c r="T11" i="4"/>
  <c r="X11" i="4" s="1"/>
  <c r="Z11" i="4"/>
  <c r="AB11" i="4"/>
  <c r="J11" i="6"/>
  <c r="AA11" i="4"/>
  <c r="Z10" i="4"/>
  <c r="T10" i="4"/>
  <c r="X10" i="4" s="1"/>
  <c r="AB10" i="4"/>
  <c r="J10" i="6"/>
  <c r="AA10" i="4"/>
  <c r="AB9" i="4"/>
  <c r="Z9" i="4"/>
  <c r="T9" i="4"/>
  <c r="X9" i="4" s="1"/>
  <c r="AA9" i="4"/>
  <c r="J9" i="6"/>
  <c r="Z8" i="4"/>
  <c r="AB8" i="4"/>
  <c r="T8" i="4"/>
  <c r="X8" i="4" s="1"/>
  <c r="AA8" i="4"/>
  <c r="J8" i="6"/>
  <c r="AB7" i="4"/>
  <c r="Z7" i="4"/>
  <c r="T7" i="4"/>
  <c r="X7" i="4" s="1"/>
  <c r="J7" i="6"/>
  <c r="AA7" i="4"/>
  <c r="AB6" i="4"/>
  <c r="Z6" i="4"/>
  <c r="T6" i="4"/>
  <c r="X6" i="4" s="1"/>
  <c r="AA6" i="4"/>
  <c r="J6" i="6"/>
  <c r="T5" i="4"/>
  <c r="Z5" i="4"/>
  <c r="AB5" i="4"/>
  <c r="AA5" i="4"/>
  <c r="J5" i="6"/>
  <c r="F12" i="1"/>
  <c r="D29" i="1"/>
  <c r="D28" i="1"/>
  <c r="F11" i="1"/>
  <c r="B42" i="1"/>
  <c r="D33" i="1"/>
  <c r="M39" i="5" l="1"/>
  <c r="L39" i="5"/>
  <c r="B23" i="1"/>
  <c r="F23" i="1" s="1"/>
  <c r="M38" i="5"/>
  <c r="L38" i="5"/>
  <c r="M37" i="5"/>
  <c r="L37" i="5"/>
  <c r="M36" i="5"/>
  <c r="L36" i="5"/>
  <c r="M35" i="5"/>
  <c r="L35" i="5"/>
  <c r="X65" i="6"/>
  <c r="S65" i="6"/>
  <c r="U65" i="6" s="1"/>
  <c r="W5" i="5"/>
  <c r="B18" i="1" s="1"/>
  <c r="B17" i="1"/>
  <c r="F17" i="1" s="1"/>
  <c r="F16" i="1"/>
  <c r="B20" i="1"/>
  <c r="F20" i="1"/>
  <c r="P134" i="5"/>
  <c r="Q134" i="5" s="1"/>
  <c r="O134" i="5"/>
  <c r="P16" i="5"/>
  <c r="Q16" i="5" s="1"/>
  <c r="O16" i="5"/>
  <c r="X5" i="4"/>
  <c r="B14" i="1"/>
  <c r="F14" i="1" s="1"/>
  <c r="P101" i="5"/>
  <c r="Q101" i="5" s="1"/>
  <c r="P98" i="5"/>
  <c r="Q98" i="5" s="1"/>
  <c r="P95" i="5"/>
  <c r="Q95" i="5" s="1"/>
  <c r="P94" i="5"/>
  <c r="Q94" i="5" s="1"/>
  <c r="P93" i="5"/>
  <c r="Q93" i="5" s="1"/>
  <c r="P90" i="5"/>
  <c r="Q90" i="5" s="1"/>
  <c r="P81" i="5"/>
  <c r="Q81" i="5" s="1"/>
  <c r="P69" i="5"/>
  <c r="Q69" i="5" s="1"/>
  <c r="P68" i="5"/>
  <c r="Q68" i="5" s="1"/>
  <c r="P59" i="5"/>
  <c r="Q59" i="5" s="1"/>
  <c r="P57" i="5"/>
  <c r="Q57" i="5" s="1"/>
  <c r="P56" i="5"/>
  <c r="Q56" i="5" s="1"/>
  <c r="P30" i="5"/>
  <c r="Q30" i="5" s="1"/>
  <c r="P25" i="5"/>
  <c r="Q25" i="5" s="1"/>
  <c r="P24" i="5"/>
  <c r="Q24" i="5" s="1"/>
  <c r="P18" i="5"/>
  <c r="Q18" i="5" s="1"/>
  <c r="P17" i="5"/>
  <c r="Q17" i="5" s="1"/>
  <c r="B13" i="1"/>
  <c r="X164" i="6"/>
  <c r="S164" i="6"/>
  <c r="U164" i="6" s="1"/>
  <c r="X163" i="6"/>
  <c r="S163" i="6"/>
  <c r="U163" i="6" s="1"/>
  <c r="X162" i="6"/>
  <c r="S162" i="6"/>
  <c r="U162" i="6" s="1"/>
  <c r="S161" i="6"/>
  <c r="U161" i="6" s="1"/>
  <c r="X161" i="6"/>
  <c r="X160" i="6"/>
  <c r="S160" i="6"/>
  <c r="U160" i="6" s="1"/>
  <c r="X159" i="6"/>
  <c r="S159" i="6"/>
  <c r="U159" i="6" s="1"/>
  <c r="S158" i="6"/>
  <c r="U158" i="6" s="1"/>
  <c r="X158" i="6"/>
  <c r="X157" i="6"/>
  <c r="S157" i="6"/>
  <c r="U157" i="6" s="1"/>
  <c r="X156" i="6"/>
  <c r="S156" i="6"/>
  <c r="U156" i="6" s="1"/>
  <c r="X155" i="6"/>
  <c r="S155" i="6"/>
  <c r="U155" i="6" s="1"/>
  <c r="S154" i="6"/>
  <c r="U154" i="6" s="1"/>
  <c r="X154" i="6"/>
  <c r="S153" i="6"/>
  <c r="U153" i="6" s="1"/>
  <c r="X153" i="6"/>
  <c r="S152" i="6"/>
  <c r="U152" i="6" s="1"/>
  <c r="X152" i="6"/>
  <c r="S151" i="6"/>
  <c r="U151" i="6" s="1"/>
  <c r="X151" i="6"/>
  <c r="X149" i="6"/>
  <c r="S149" i="6"/>
  <c r="U149" i="6" s="1"/>
  <c r="X148" i="6"/>
  <c r="S148" i="6"/>
  <c r="U148" i="6" s="1"/>
  <c r="X147" i="6"/>
  <c r="S147" i="6"/>
  <c r="U147" i="6" s="1"/>
  <c r="X146" i="6"/>
  <c r="S146" i="6"/>
  <c r="U146" i="6" s="1"/>
  <c r="X145" i="6"/>
  <c r="S145" i="6"/>
  <c r="U145" i="6" s="1"/>
  <c r="X144" i="6"/>
  <c r="S144" i="6"/>
  <c r="U144" i="6" s="1"/>
  <c r="X143" i="6"/>
  <c r="S143" i="6"/>
  <c r="U143" i="6" s="1"/>
  <c r="S142" i="6"/>
  <c r="U142" i="6" s="1"/>
  <c r="X142" i="6"/>
  <c r="X141" i="6"/>
  <c r="S141" i="6"/>
  <c r="U141" i="6" s="1"/>
  <c r="S140" i="6"/>
  <c r="U140" i="6" s="1"/>
  <c r="X140" i="6"/>
  <c r="X139" i="6"/>
  <c r="S139" i="6"/>
  <c r="U139" i="6" s="1"/>
  <c r="X138" i="6"/>
  <c r="S138" i="6"/>
  <c r="U138" i="6" s="1"/>
  <c r="X137" i="6"/>
  <c r="S137" i="6"/>
  <c r="U137" i="6" s="1"/>
  <c r="X133" i="6"/>
  <c r="S133" i="6"/>
  <c r="U133" i="6" s="1"/>
  <c r="X131" i="6"/>
  <c r="S131" i="6"/>
  <c r="U131" i="6" s="1"/>
  <c r="S129" i="6"/>
  <c r="U129" i="6" s="1"/>
  <c r="X129" i="6"/>
  <c r="S128" i="6"/>
  <c r="U128" i="6" s="1"/>
  <c r="X128" i="6"/>
  <c r="X127" i="6"/>
  <c r="S127" i="6"/>
  <c r="U127" i="6" s="1"/>
  <c r="S126" i="6"/>
  <c r="U126" i="6" s="1"/>
  <c r="X126" i="6"/>
  <c r="S125" i="6"/>
  <c r="U125" i="6" s="1"/>
  <c r="X125" i="6"/>
  <c r="S121" i="6"/>
  <c r="U121" i="6" s="1"/>
  <c r="X121" i="6"/>
  <c r="S120" i="6"/>
  <c r="U120" i="6" s="1"/>
  <c r="X120" i="6"/>
  <c r="X119" i="6"/>
  <c r="S119" i="6"/>
  <c r="U119" i="6" s="1"/>
  <c r="S118" i="6"/>
  <c r="U118" i="6" s="1"/>
  <c r="X118" i="6"/>
  <c r="X117" i="6"/>
  <c r="S117" i="6"/>
  <c r="U117" i="6" s="1"/>
  <c r="S115" i="6"/>
  <c r="U115" i="6" s="1"/>
  <c r="X115" i="6"/>
  <c r="S114" i="6"/>
  <c r="U114" i="6" s="1"/>
  <c r="X114" i="6"/>
  <c r="S113" i="6"/>
  <c r="U113" i="6" s="1"/>
  <c r="X113" i="6"/>
  <c r="S112" i="6"/>
  <c r="U112" i="6" s="1"/>
  <c r="X112" i="6"/>
  <c r="X111" i="6"/>
  <c r="S111" i="6"/>
  <c r="U111" i="6" s="1"/>
  <c r="X110" i="6"/>
  <c r="S110" i="6"/>
  <c r="U110" i="6" s="1"/>
  <c r="X109" i="6"/>
  <c r="S109" i="6"/>
  <c r="U109" i="6" s="1"/>
  <c r="X108" i="6"/>
  <c r="S108" i="6"/>
  <c r="U108" i="6" s="1"/>
  <c r="X106" i="6"/>
  <c r="S106" i="6"/>
  <c r="U106" i="6" s="1"/>
  <c r="X105" i="6"/>
  <c r="S105" i="6"/>
  <c r="U105" i="6" s="1"/>
  <c r="S104" i="6"/>
  <c r="U104" i="6" s="1"/>
  <c r="X104" i="6"/>
  <c r="X103" i="6"/>
  <c r="S103" i="6"/>
  <c r="U103" i="6" s="1"/>
  <c r="X102" i="6"/>
  <c r="S102" i="6"/>
  <c r="U102" i="6" s="1"/>
  <c r="S100" i="6"/>
  <c r="U100" i="6" s="1"/>
  <c r="X100" i="6"/>
  <c r="S99" i="6"/>
  <c r="U99" i="6" s="1"/>
  <c r="X99" i="6"/>
  <c r="S98" i="6"/>
  <c r="U98" i="6" s="1"/>
  <c r="X98" i="6"/>
  <c r="S97" i="6"/>
  <c r="U97" i="6" s="1"/>
  <c r="X97" i="6"/>
  <c r="S96" i="6"/>
  <c r="U96" i="6" s="1"/>
  <c r="X96" i="6"/>
  <c r="S95" i="6"/>
  <c r="U95" i="6" s="1"/>
  <c r="X95" i="6"/>
  <c r="X94" i="6"/>
  <c r="S94" i="6"/>
  <c r="U94" i="6" s="1"/>
  <c r="X93" i="6"/>
  <c r="S93" i="6"/>
  <c r="U93" i="6" s="1"/>
  <c r="X92" i="6"/>
  <c r="S92" i="6"/>
  <c r="U92" i="6" s="1"/>
  <c r="X91" i="6"/>
  <c r="S91" i="6"/>
  <c r="U91" i="6" s="1"/>
  <c r="S90" i="6"/>
  <c r="U90" i="6" s="1"/>
  <c r="X90" i="6"/>
  <c r="S89" i="6"/>
  <c r="U89" i="6" s="1"/>
  <c r="X89" i="6"/>
  <c r="X87" i="6"/>
  <c r="S87" i="6"/>
  <c r="U87" i="6" s="1"/>
  <c r="X83" i="6"/>
  <c r="S83" i="6"/>
  <c r="U83" i="6" s="1"/>
  <c r="X81" i="6"/>
  <c r="S81" i="6"/>
  <c r="U81" i="6" s="1"/>
  <c r="X80" i="6"/>
  <c r="S80" i="6"/>
  <c r="U80" i="6" s="1"/>
  <c r="X79" i="6"/>
  <c r="S79" i="6"/>
  <c r="U79" i="6" s="1"/>
  <c r="S78" i="6"/>
  <c r="U78" i="6" s="1"/>
  <c r="X78" i="6"/>
  <c r="S77" i="6"/>
  <c r="U77" i="6" s="1"/>
  <c r="X77" i="6"/>
  <c r="X74" i="6"/>
  <c r="S74" i="6"/>
  <c r="U74" i="6" s="1"/>
  <c r="S73" i="6"/>
  <c r="U73" i="6" s="1"/>
  <c r="X73" i="6"/>
  <c r="S72" i="6"/>
  <c r="U72" i="6" s="1"/>
  <c r="X72" i="6"/>
  <c r="S71" i="6"/>
  <c r="U71" i="6" s="1"/>
  <c r="X71" i="6"/>
  <c r="X69" i="6"/>
  <c r="S69" i="6"/>
  <c r="U69" i="6" s="1"/>
  <c r="X67" i="6"/>
  <c r="S67" i="6"/>
  <c r="U67" i="6" s="1"/>
  <c r="X66" i="6"/>
  <c r="S66" i="6"/>
  <c r="U66" i="6" s="1"/>
  <c r="S63" i="6"/>
  <c r="U63" i="6" s="1"/>
  <c r="X63" i="6"/>
  <c r="X61" i="6"/>
  <c r="S61" i="6"/>
  <c r="U61" i="6" s="1"/>
  <c r="X59" i="6"/>
  <c r="S59" i="6"/>
  <c r="U59" i="6" s="1"/>
  <c r="X57" i="6"/>
  <c r="S57" i="6"/>
  <c r="U57" i="6" s="1"/>
  <c r="S56" i="6"/>
  <c r="U56" i="6" s="1"/>
  <c r="X56" i="6"/>
  <c r="S55" i="6"/>
  <c r="U55" i="6" s="1"/>
  <c r="X55" i="6"/>
  <c r="S54" i="6"/>
  <c r="U54" i="6" s="1"/>
  <c r="X54" i="6"/>
  <c r="X53" i="6"/>
  <c r="S53" i="6"/>
  <c r="U53" i="6" s="1"/>
  <c r="X51" i="6"/>
  <c r="S51" i="6"/>
  <c r="U51" i="6" s="1"/>
  <c r="S41" i="6"/>
  <c r="U41" i="6" s="1"/>
  <c r="X41" i="6"/>
  <c r="S37" i="6"/>
  <c r="U37" i="6" s="1"/>
  <c r="X37" i="6"/>
  <c r="X35" i="6"/>
  <c r="S35" i="6"/>
  <c r="U35" i="6" s="1"/>
  <c r="X34" i="6"/>
  <c r="S34" i="6"/>
  <c r="U34" i="6" s="1"/>
  <c r="S33" i="6"/>
  <c r="U33" i="6" s="1"/>
  <c r="X33" i="6"/>
  <c r="S32" i="6"/>
  <c r="U32" i="6" s="1"/>
  <c r="X32" i="6"/>
  <c r="X31" i="6"/>
  <c r="S31" i="6"/>
  <c r="U31" i="6" s="1"/>
  <c r="X29" i="6"/>
  <c r="S29" i="6"/>
  <c r="U29" i="6" s="1"/>
  <c r="S27" i="6"/>
  <c r="U27" i="6" s="1"/>
  <c r="X27" i="6"/>
  <c r="X25" i="6"/>
  <c r="S25" i="6"/>
  <c r="U25" i="6" s="1"/>
  <c r="S21" i="6"/>
  <c r="U21" i="6" s="1"/>
  <c r="X21" i="6"/>
  <c r="S20" i="6"/>
  <c r="U20" i="6" s="1"/>
  <c r="X20" i="6"/>
  <c r="S18" i="6"/>
  <c r="U18" i="6" s="1"/>
  <c r="X18" i="6"/>
  <c r="X15" i="6"/>
  <c r="S15" i="6"/>
  <c r="U15" i="6" s="1"/>
  <c r="S10" i="6"/>
  <c r="U10" i="6" s="1"/>
  <c r="X10" i="6"/>
  <c r="S6" i="6"/>
  <c r="U6" i="6" s="1"/>
  <c r="X6" i="6"/>
  <c r="S5" i="6"/>
  <c r="X5" i="6"/>
  <c r="P105" i="5"/>
  <c r="Q105" i="5" s="1"/>
  <c r="O105" i="5"/>
  <c r="P104" i="5"/>
  <c r="Q104" i="5" s="1"/>
  <c r="O104" i="5"/>
  <c r="P103" i="5"/>
  <c r="Q103" i="5" s="1"/>
  <c r="O103" i="5"/>
  <c r="P100" i="5"/>
  <c r="Q100" i="5" s="1"/>
  <c r="O100" i="5"/>
  <c r="P99" i="5"/>
  <c r="Q99" i="5" s="1"/>
  <c r="O99" i="5"/>
  <c r="P97" i="5"/>
  <c r="Q97" i="5" s="1"/>
  <c r="O97" i="5"/>
  <c r="P92" i="5"/>
  <c r="Q92" i="5" s="1"/>
  <c r="O92" i="5"/>
  <c r="P91" i="5"/>
  <c r="Q91" i="5" s="1"/>
  <c r="O91" i="5"/>
  <c r="P88" i="5"/>
  <c r="Q88" i="5" s="1"/>
  <c r="O88" i="5"/>
  <c r="P87" i="5"/>
  <c r="Q87" i="5" s="1"/>
  <c r="O87" i="5"/>
  <c r="P82" i="5"/>
  <c r="Q82" i="5" s="1"/>
  <c r="O82" i="5"/>
  <c r="P78" i="5"/>
  <c r="Q78" i="5" s="1"/>
  <c r="O78" i="5"/>
  <c r="P75" i="5"/>
  <c r="Q75" i="5" s="1"/>
  <c r="O75" i="5"/>
  <c r="P74" i="5"/>
  <c r="Q74" i="5" s="1"/>
  <c r="O74" i="5"/>
  <c r="P73" i="5"/>
  <c r="Q73" i="5" s="1"/>
  <c r="O73" i="5"/>
  <c r="P72" i="5"/>
  <c r="Q72" i="5" s="1"/>
  <c r="O72" i="5"/>
  <c r="P71" i="5"/>
  <c r="Q71" i="5" s="1"/>
  <c r="O71" i="5"/>
  <c r="P67" i="5"/>
  <c r="Q67" i="5" s="1"/>
  <c r="O67" i="5"/>
  <c r="P66" i="5"/>
  <c r="Q66" i="5" s="1"/>
  <c r="O66" i="5"/>
  <c r="P65" i="5"/>
  <c r="Q65" i="5" s="1"/>
  <c r="O65" i="5"/>
  <c r="P63" i="5"/>
  <c r="Q63" i="5" s="1"/>
  <c r="O63" i="5"/>
  <c r="P44" i="5"/>
  <c r="Q44" i="5" s="1"/>
  <c r="O44" i="5"/>
  <c r="P42" i="5"/>
  <c r="Q42" i="5" s="1"/>
  <c r="O42" i="5"/>
  <c r="P41" i="5"/>
  <c r="Q41" i="5" s="1"/>
  <c r="O41" i="5"/>
  <c r="P40" i="5"/>
  <c r="Q40" i="5" s="1"/>
  <c r="O40" i="5"/>
  <c r="P39" i="5"/>
  <c r="Q39" i="5" s="1"/>
  <c r="O39" i="5"/>
  <c r="P38" i="5"/>
  <c r="Q38" i="5" s="1"/>
  <c r="O38" i="5"/>
  <c r="P37" i="5"/>
  <c r="Q37" i="5" s="1"/>
  <c r="O37" i="5"/>
  <c r="P36" i="5"/>
  <c r="Q36" i="5" s="1"/>
  <c r="O36" i="5"/>
  <c r="P35" i="5"/>
  <c r="Q35" i="5" s="1"/>
  <c r="O35" i="5"/>
  <c r="P34" i="5"/>
  <c r="Q34" i="5" s="1"/>
  <c r="O34" i="5"/>
  <c r="P33" i="5"/>
  <c r="Q33" i="5" s="1"/>
  <c r="O33" i="5"/>
  <c r="P32" i="5"/>
  <c r="Q32" i="5" s="1"/>
  <c r="O32" i="5"/>
  <c r="P31" i="5"/>
  <c r="Q31" i="5" s="1"/>
  <c r="O31" i="5"/>
  <c r="P29" i="5"/>
  <c r="Q29" i="5" s="1"/>
  <c r="O29" i="5"/>
  <c r="P28" i="5"/>
  <c r="Q28" i="5" s="1"/>
  <c r="O28" i="5"/>
  <c r="P27" i="5"/>
  <c r="Q27" i="5" s="1"/>
  <c r="O27" i="5"/>
  <c r="P23" i="5"/>
  <c r="Q23" i="5" s="1"/>
  <c r="O23" i="5"/>
  <c r="P22" i="5"/>
  <c r="Q22" i="5" s="1"/>
  <c r="O22" i="5"/>
  <c r="P20" i="5"/>
  <c r="Q20" i="5" s="1"/>
  <c r="O20" i="5"/>
  <c r="P19" i="5"/>
  <c r="Q19" i="5" s="1"/>
  <c r="O19" i="5"/>
  <c r="P15" i="5"/>
  <c r="Q15" i="5" s="1"/>
  <c r="O15" i="5"/>
  <c r="P14" i="5"/>
  <c r="Q14" i="5" s="1"/>
  <c r="O14" i="5"/>
  <c r="P13" i="5"/>
  <c r="Q13" i="5" s="1"/>
  <c r="O13" i="5"/>
  <c r="P12" i="5"/>
  <c r="Q12" i="5" s="1"/>
  <c r="O12" i="5"/>
  <c r="P10" i="5"/>
  <c r="Q10" i="5" s="1"/>
  <c r="O10" i="5"/>
  <c r="P9" i="5"/>
  <c r="Q9" i="5" s="1"/>
  <c r="O9" i="5"/>
  <c r="P7" i="5"/>
  <c r="Q7" i="5" s="1"/>
  <c r="O7" i="5"/>
  <c r="P6" i="5"/>
  <c r="Q6" i="5" s="1"/>
  <c r="O6" i="5"/>
  <c r="P5" i="5"/>
  <c r="Q5" i="5" s="1"/>
  <c r="O5" i="5"/>
  <c r="P164" i="5"/>
  <c r="Q164" i="5" s="1"/>
  <c r="O164" i="5"/>
  <c r="P163" i="5"/>
  <c r="Q163" i="5" s="1"/>
  <c r="O163" i="5"/>
  <c r="P162" i="5"/>
  <c r="Q162" i="5" s="1"/>
  <c r="O162" i="5"/>
  <c r="P161" i="5"/>
  <c r="Q161" i="5" s="1"/>
  <c r="O161" i="5"/>
  <c r="P160" i="5"/>
  <c r="Q160" i="5" s="1"/>
  <c r="O160" i="5"/>
  <c r="P159" i="5"/>
  <c r="Q159" i="5" s="1"/>
  <c r="O159" i="5"/>
  <c r="P158" i="5"/>
  <c r="Q158" i="5" s="1"/>
  <c r="O158" i="5"/>
  <c r="P157" i="5"/>
  <c r="Q157" i="5" s="1"/>
  <c r="O157" i="5"/>
  <c r="P156" i="5"/>
  <c r="Q156" i="5" s="1"/>
  <c r="O156" i="5"/>
  <c r="P155" i="5"/>
  <c r="Q155" i="5" s="1"/>
  <c r="O155" i="5"/>
  <c r="P154" i="5"/>
  <c r="Q154" i="5" s="1"/>
  <c r="O154" i="5"/>
  <c r="P153" i="5"/>
  <c r="Q153" i="5" s="1"/>
  <c r="O153" i="5"/>
  <c r="P152" i="5"/>
  <c r="Q152" i="5" s="1"/>
  <c r="O152" i="5"/>
  <c r="P151" i="5"/>
  <c r="Q151" i="5" s="1"/>
  <c r="O151" i="5"/>
  <c r="P150" i="5"/>
  <c r="Q150" i="5" s="1"/>
  <c r="O150" i="5"/>
  <c r="P149" i="5"/>
  <c r="Q149" i="5" s="1"/>
  <c r="O149" i="5"/>
  <c r="P148" i="5"/>
  <c r="Q148" i="5" s="1"/>
  <c r="O148" i="5"/>
  <c r="P147" i="5"/>
  <c r="Q147" i="5" s="1"/>
  <c r="O147" i="5"/>
  <c r="P146" i="5"/>
  <c r="Q146" i="5" s="1"/>
  <c r="O146" i="5"/>
  <c r="P145" i="5"/>
  <c r="Q145" i="5" s="1"/>
  <c r="O145" i="5"/>
  <c r="P144" i="5"/>
  <c r="Q144" i="5" s="1"/>
  <c r="O144" i="5"/>
  <c r="P143" i="5"/>
  <c r="Q143" i="5" s="1"/>
  <c r="O143" i="5"/>
  <c r="P142" i="5"/>
  <c r="Q142" i="5" s="1"/>
  <c r="O142" i="5"/>
  <c r="P141" i="5"/>
  <c r="Q141" i="5" s="1"/>
  <c r="O141" i="5"/>
  <c r="P140" i="5"/>
  <c r="Q140" i="5" s="1"/>
  <c r="O140" i="5"/>
  <c r="P139" i="5"/>
  <c r="Q139" i="5" s="1"/>
  <c r="O139" i="5"/>
  <c r="P138" i="5"/>
  <c r="Q138" i="5" s="1"/>
  <c r="O138" i="5"/>
  <c r="P137" i="5"/>
  <c r="Q137" i="5" s="1"/>
  <c r="O137" i="5"/>
  <c r="P136" i="5"/>
  <c r="Q136" i="5" s="1"/>
  <c r="O136" i="5"/>
  <c r="P135" i="5"/>
  <c r="Q135" i="5" s="1"/>
  <c r="O135" i="5"/>
  <c r="P133" i="5"/>
  <c r="Q133" i="5" s="1"/>
  <c r="O133" i="5"/>
  <c r="P132" i="5"/>
  <c r="Q132" i="5" s="1"/>
  <c r="O132" i="5"/>
  <c r="P131" i="5"/>
  <c r="Q131" i="5" s="1"/>
  <c r="O131" i="5"/>
  <c r="P130" i="5"/>
  <c r="Q130" i="5" s="1"/>
  <c r="O130" i="5"/>
  <c r="P129" i="5"/>
  <c r="Q129" i="5" s="1"/>
  <c r="O129" i="5"/>
  <c r="P128" i="5"/>
  <c r="Q128" i="5" s="1"/>
  <c r="O128" i="5"/>
  <c r="P127" i="5"/>
  <c r="Q127" i="5" s="1"/>
  <c r="O127" i="5"/>
  <c r="P126" i="5"/>
  <c r="Q126" i="5" s="1"/>
  <c r="O126" i="5"/>
  <c r="Z126" i="5"/>
  <c r="P125" i="5"/>
  <c r="Q125" i="5" s="1"/>
  <c r="O125" i="5"/>
  <c r="P124" i="5"/>
  <c r="Q124" i="5" s="1"/>
  <c r="O124" i="5"/>
  <c r="P123" i="5"/>
  <c r="Q123" i="5" s="1"/>
  <c r="O123" i="5"/>
  <c r="P122" i="5"/>
  <c r="Q122" i="5" s="1"/>
  <c r="O122" i="5"/>
  <c r="P121" i="5"/>
  <c r="Q121" i="5" s="1"/>
  <c r="O121" i="5"/>
  <c r="P120" i="5"/>
  <c r="Q120" i="5" s="1"/>
  <c r="O120" i="5"/>
  <c r="P119" i="5"/>
  <c r="Q119" i="5" s="1"/>
  <c r="O119" i="5"/>
  <c r="P118" i="5"/>
  <c r="Q118" i="5" s="1"/>
  <c r="O118" i="5"/>
  <c r="P117" i="5"/>
  <c r="Q117" i="5" s="1"/>
  <c r="O117" i="5"/>
  <c r="P116" i="5"/>
  <c r="Q116" i="5" s="1"/>
  <c r="O116" i="5"/>
  <c r="P115" i="5"/>
  <c r="Q115" i="5" s="1"/>
  <c r="O115" i="5"/>
  <c r="P114" i="5"/>
  <c r="Q114" i="5" s="1"/>
  <c r="Z114" i="5"/>
  <c r="O114" i="5"/>
  <c r="P113" i="5"/>
  <c r="Q113" i="5" s="1"/>
  <c r="Z113" i="5"/>
  <c r="O113" i="5"/>
  <c r="P112" i="5"/>
  <c r="Q112" i="5" s="1"/>
  <c r="O112" i="5"/>
  <c r="P111" i="5"/>
  <c r="Q111" i="5" s="1"/>
  <c r="O111" i="5"/>
  <c r="P110" i="5"/>
  <c r="Q110" i="5" s="1"/>
  <c r="O110" i="5"/>
  <c r="P109" i="5"/>
  <c r="Q109" i="5" s="1"/>
  <c r="O109" i="5"/>
  <c r="P108" i="5"/>
  <c r="Q108" i="5" s="1"/>
  <c r="O108" i="5"/>
  <c r="P107" i="5"/>
  <c r="Q107" i="5" s="1"/>
  <c r="O107" i="5"/>
  <c r="P106" i="5"/>
  <c r="Q106" i="5" s="1"/>
  <c r="O106" i="5"/>
  <c r="P55" i="5"/>
  <c r="Q55" i="5" s="1"/>
  <c r="O55" i="5"/>
  <c r="P54" i="5"/>
  <c r="Q54" i="5" s="1"/>
  <c r="Z54" i="5"/>
  <c r="O54" i="5"/>
  <c r="P53" i="5"/>
  <c r="Q53" i="5" s="1"/>
  <c r="O53" i="5"/>
  <c r="Z53" i="5"/>
  <c r="P52" i="5"/>
  <c r="Q52" i="5" s="1"/>
  <c r="O52" i="5"/>
  <c r="P51" i="5"/>
  <c r="Q51" i="5" s="1"/>
  <c r="O51" i="5"/>
  <c r="P50" i="5"/>
  <c r="Q50" i="5" s="1"/>
  <c r="O50" i="5"/>
  <c r="P49" i="5"/>
  <c r="Q49" i="5" s="1"/>
  <c r="O49" i="5"/>
  <c r="P48" i="5"/>
  <c r="Q48" i="5" s="1"/>
  <c r="O48" i="5"/>
  <c r="P47" i="5"/>
  <c r="Q47" i="5" s="1"/>
  <c r="O47" i="5"/>
  <c r="P46" i="5"/>
  <c r="Q46" i="5" s="1"/>
  <c r="O46" i="5"/>
  <c r="P45" i="5"/>
  <c r="Q45" i="5" s="1"/>
  <c r="O45" i="5"/>
  <c r="D32" i="1" l="1"/>
  <c r="F18" i="1"/>
  <c r="B19" i="1"/>
  <c r="A37" i="1"/>
  <c r="B24" i="1"/>
  <c r="F24" i="1" s="1"/>
  <c r="F13" i="1"/>
  <c r="B22" i="1"/>
  <c r="F22" i="1" s="1"/>
  <c r="U5" i="6"/>
  <c r="F19" i="1" l="1"/>
  <c r="A36" i="1"/>
</calcChain>
</file>

<file path=xl/sharedStrings.xml><?xml version="1.0" encoding="utf-8"?>
<sst xmlns="http://schemas.openxmlformats.org/spreadsheetml/2006/main" count="3974" uniqueCount="780">
  <si>
    <t>OMNICHANNEL INVENTORY CONTROL TOWER · WEEKLY S&amp;OP</t>
  </si>
  <si>
    <t>Snapshot 2026-10-25 · Deterministic seed 42 · 160 child FNSKUs · 365-day history · sign-off package generated from live formulas on tabs 02-05</t>
  </si>
  <si>
    <t>EXECUTIVE KPI CONTROL TOWER</t>
  </si>
  <si>
    <t>Metric</t>
  </si>
  <si>
    <t>Value</t>
  </si>
  <si>
    <t>Unit</t>
  </si>
  <si>
    <t>Source</t>
  </si>
  <si>
    <t>Threshold / policy</t>
  </si>
  <si>
    <t>Status</t>
  </si>
  <si>
    <t>Catalog child FNSKUs</t>
  </si>
  <si>
    <t>SKUs</t>
  </si>
  <si>
    <t>Tab 01 · tbl_Catalog</t>
  </si>
  <si>
    <t>160 target</t>
  </si>
  <si>
    <t>FBA available units</t>
  </si>
  <si>
    <t>units</t>
  </si>
  <si>
    <t>Tab 03 · Col D</t>
  </si>
  <si>
    <t>Physical stock</t>
  </si>
  <si>
    <t>3PL on-hand units</t>
  </si>
  <si>
    <t>Tab 04 · Col D</t>
  </si>
  <si>
    <t>Upstream pool</t>
  </si>
  <si>
    <t>Open PO units</t>
  </si>
  <si>
    <t>Tab 04 · Col AA</t>
  </si>
  <si>
    <t>In-transit / production</t>
  </si>
  <si>
    <t>Inventory value at landed cost</t>
  </si>
  <si>
    <t>USD</t>
  </si>
  <si>
    <t>Catalog × system units</t>
  </si>
  <si>
    <t>Working-capital exposure</t>
  </si>
  <si>
    <t>FNSKUs with 30d HDoS &lt; 14d</t>
  </si>
  <si>
    <t>Tab 03 · Col F</t>
  </si>
  <si>
    <t>Critical stockout band</t>
  </si>
  <si>
    <t>Non-exempt FNSKUs in 14-28d fee band</t>
  </si>
  <si>
    <t>Tab 03 · Col F/G/J</t>
  </si>
  <si>
    <t>30-day window; charge model uses max(30d, 90d)</t>
  </si>
  <si>
    <t>30-day low-inventory fee exposure</t>
  </si>
  <si>
    <t>Tab 03 · Col Z</t>
  </si>
  <si>
    <t>$0.32 / $0.63 / $0.89 per unit</t>
  </si>
  <si>
    <t>3PL → FBA transfer cartons</t>
  </si>
  <si>
    <t>cartons</t>
  </si>
  <si>
    <t>Tab 03 · Col T</t>
  </si>
  <si>
    <t>Master-carton multiples</t>
  </si>
  <si>
    <t>3PL → FBA transfer units</t>
  </si>
  <si>
    <t>Tab 03 · Col S</t>
  </si>
  <si>
    <t>Age-safe ≤120d</t>
  </si>
  <si>
    <t>Factory PO units</t>
  </si>
  <si>
    <t>Tab 04 · Col U</t>
  </si>
  <si>
    <t>Aggregate MOQ ≥5,000</t>
  </si>
  <si>
    <t>Factory PO cartons</t>
  </si>
  <si>
    <t>Tab 04 · Col V</t>
  </si>
  <si>
    <t>Integer master cartons</t>
  </si>
  <si>
    <t>Container volume</t>
  </si>
  <si>
    <t>CBM</t>
  </si>
  <si>
    <t>Tab 04 · Col W</t>
  </si>
  <si>
    <t>20' GP = 28.8 CBM</t>
  </si>
  <si>
    <t>Container utilisation</t>
  </si>
  <si>
    <t>%</t>
  </si>
  <si>
    <t>CBM / 28.8</t>
  </si>
  <si>
    <t>≥95% optimal fill</t>
  </si>
  <si>
    <t>Aggregate PO MOQ</t>
  </si>
  <si>
    <t>status</t>
  </si>
  <si>
    <t>5,000-unit floor</t>
  </si>
  <si>
    <t>Projected monthly AIS</t>
  </si>
  <si>
    <t>Tab 05 · Col O</t>
  </si>
  <si>
    <t>Aged inventory surcharge</t>
  </si>
  <si>
    <t>Removal recommendations</t>
  </si>
  <si>
    <t>Tab 05 · Col S</t>
  </si>
  <si>
    <t>Payback ≤12 months</t>
  </si>
  <si>
    <t>Annualised AIS exposure</t>
  </si>
  <si>
    <t>Tab 05 · Col T</t>
  </si>
  <si>
    <t>12 × monthly AIS</t>
  </si>
  <si>
    <t>Combined fee + AIS exposure</t>
  </si>
  <si>
    <t>Tabs 03 + 05</t>
  </si>
  <si>
    <t>Weekly + monthly leakage</t>
  </si>
  <si>
    <t>EXCEPTION MATRIX · WHAT REQUIRES A DECISION THIS WEEK</t>
  </si>
  <si>
    <t>Severity</t>
  </si>
  <si>
    <t>Domain</t>
  </si>
  <si>
    <t>Exception</t>
  </si>
  <si>
    <t>Count</t>
  </si>
  <si>
    <t>Owner</t>
  </si>
  <si>
    <t>Required action</t>
  </si>
  <si>
    <t>CRITICAL</t>
  </si>
  <si>
    <t>Demand</t>
  </si>
  <si>
    <t>FNSKUs with HDoS &lt; 14 days</t>
  </si>
  <si>
    <t>Inventory Ops</t>
  </si>
  <si>
    <t>Expedite SPD / release 3PL cartons before fee lock</t>
  </si>
  <si>
    <t>HIGH</t>
  </si>
  <si>
    <t>Fee</t>
  </si>
  <si>
    <t>Non-exempt FNSKUs in 14-28d band</t>
  </si>
  <si>
    <t>Finance + Ops</t>
  </si>
  <si>
    <t>Transfer now; do not wait for the next Monday cycle</t>
  </si>
  <si>
    <t>Aging</t>
  </si>
  <si>
    <t>Units &gt;180 days at FBA</t>
  </si>
  <si>
    <t>Compliance</t>
  </si>
  <si>
    <t>Removal or 25% markdown before the 14th, 23:59 PT</t>
  </si>
  <si>
    <t>MEDIUM</t>
  </si>
  <si>
    <t>Container</t>
  </si>
  <si>
    <t>Factory cartons deferred to next cycle</t>
  </si>
  <si>
    <t>Logistics</t>
  </si>
  <si>
    <t>Roll into next Monday's 20' GP allocation</t>
  </si>
  <si>
    <t>MOQ</t>
  </si>
  <si>
    <t>Lines with MOQ-driven DOS override</t>
  </si>
  <si>
    <t>Procurement</t>
  </si>
  <si>
    <t>Negotiate lower MOQ or split production lots</t>
  </si>
  <si>
    <t>LOW</t>
  </si>
  <si>
    <t>Analytics</t>
  </si>
  <si>
    <t>FNSKUs with positive unconstraining uplift</t>
  </si>
  <si>
    <t>Demand Planning</t>
  </si>
  <si>
    <t>Audit censored-demand assumptions in Tab 02</t>
  </si>
  <si>
    <t>CONTAINER FILL GAUGE</t>
  </si>
  <si>
    <t>S&amp;OP GOVERNANCE &amp; SIGN-OFF</t>
  </si>
  <si>
    <t>Prepared by</t>
  </si>
  <si>
    <t>Supply Chain Analytics · automated control tower</t>
  </si>
  <si>
    <t>Governance: this workbook is the S&amp;OP sign-off artifact for SOP-OPS-004. It is regenerated deterministically from seed 42. Any manual override must be recorded in the change log and re-validated against the Python quality gate (pytest) before release to the 3PL and factory.</t>
  </si>
  <si>
    <t>Snapshot date</t>
  </si>
  <si>
    <t>S&amp;OP decision</t>
  </si>
  <si>
    <t>Approved by</t>
  </si>
  <si>
    <t>Approval date</t>
  </si>
  <si>
    <t>01 · CATALOGUE MASTER &amp; GLOBAL POLICY PARAMETERS</t>
  </si>
  <si>
    <t>Snapshot 2026-10-25 · 160 child FNSKUs · 6 product families · all downstream formulas reference these control cells</t>
  </si>
  <si>
    <t>Nivel 1 mean lead time (3PL → FBA), days</t>
  </si>
  <si>
    <t>Credibility kappa (James-Stein)</t>
  </si>
  <si>
    <t>Nivel 1 lead-time std deviation, days</t>
  </si>
  <si>
    <t>Substitution spillover gamma</t>
  </si>
  <si>
    <t>Nivel 2 mean lead time (Factory → 3PL), days</t>
  </si>
  <si>
    <t>Low-inventory HDoS threshold, days</t>
  </si>
  <si>
    <t>Nivel 2 lead-time std deviation, days</t>
  </si>
  <si>
    <t>Fee exemption weekly unit floor</t>
  </si>
  <si>
    <t>Low-inventory fee shield, days</t>
  </si>
  <si>
    <t>FBA removal fee per unit, USD</t>
  </si>
  <si>
    <t>FBA transfer review cycle, days</t>
  </si>
  <si>
    <t>AIS removal payback hurdle, months</t>
  </si>
  <si>
    <t>FBA age-safe cap after transfer, days</t>
  </si>
  <si>
    <t>Aggregate PO MOQ, units</t>
  </si>
  <si>
    <t>20' GP usable capacity, CBM</t>
  </si>
  <si>
    <t>LCL / FCL breakeven, CBM</t>
  </si>
  <si>
    <t>40' HC usable capacity, CBM</t>
  </si>
  <si>
    <t>Tier-A top-up reserve, CBM</t>
  </si>
  <si>
    <t>System DOS cap for base + top-up, days</t>
  </si>
  <si>
    <t>Hero weekly velocity floor, units</t>
  </si>
  <si>
    <t>2026-10-25</t>
  </si>
  <si>
    <t>Blue cells are policy controls. Change a value here and every tab recalculates. The catalogue table below is the single source of truth for carton physics, MOQs and unit volume.</t>
  </si>
  <si>
    <t>sku_id</t>
  </si>
  <si>
    <t>parent_sku_id</t>
  </si>
  <si>
    <t>asin</t>
  </si>
  <si>
    <t>fnsku</t>
  </si>
  <si>
    <t>shopify_variant_id</t>
  </si>
  <si>
    <t>material</t>
  </si>
  <si>
    <t>size_width</t>
  </si>
  <si>
    <t>color</t>
  </si>
  <si>
    <t>hardware</t>
  </si>
  <si>
    <t>abc_xyz_tier</t>
  </si>
  <si>
    <t>z_score</t>
  </si>
  <si>
    <t>master_carton_qty</t>
  </si>
  <si>
    <t>carton_volume_cbm</t>
  </si>
  <si>
    <t>carton_weight_kg</t>
  </si>
  <si>
    <t>sku_moq_units</t>
  </si>
  <si>
    <t>po_aggregate_moq_units</t>
  </si>
  <si>
    <t>fob_unit_cost</t>
  </si>
  <si>
    <t>landed_cost</t>
  </si>
  <si>
    <t>retail_price</t>
  </si>
  <si>
    <t>parent_stationary_share</t>
  </si>
  <si>
    <t>unit_volume_cuft</t>
  </si>
  <si>
    <t>fba_channel_share</t>
  </si>
  <si>
    <t>fba_size_tier</t>
  </si>
  <si>
    <t>supplier_id</t>
  </si>
  <si>
    <t>P01-RPN-S-BLK-ZIP</t>
  </si>
  <si>
    <t>P01-PCK-CUBE</t>
  </si>
  <si>
    <t>B03SNEEV2P</t>
  </si>
  <si>
    <t>X002059777</t>
  </si>
  <si>
    <t>20D Ripstop Nylon</t>
  </si>
  <si>
    <t>S</t>
  </si>
  <si>
    <t>Black</t>
  </si>
  <si>
    <t>Standard Zip</t>
  </si>
  <si>
    <t>AY</t>
  </si>
  <si>
    <t>Small Standard</t>
  </si>
  <si>
    <t>SUP-SZ-01</t>
  </si>
  <si>
    <t>P01-RPN-S-BLK-WRZ</t>
  </si>
  <si>
    <t>B0SH4UFHC6</t>
  </si>
  <si>
    <t>X009764854</t>
  </si>
  <si>
    <t>Water-Resistant Zip</t>
  </si>
  <si>
    <t>BY</t>
  </si>
  <si>
    <t>P01-RPN-S-NVY-ZIP</t>
  </si>
  <si>
    <t>B0F73JW2VU</t>
  </si>
  <si>
    <t>X002617730</t>
  </si>
  <si>
    <t>Navy</t>
  </si>
  <si>
    <t>BX</t>
  </si>
  <si>
    <t>P01-RPN-S-NVY-WRZ</t>
  </si>
  <si>
    <t>B0ZFWPSR6C</t>
  </si>
  <si>
    <t>X004405176</t>
  </si>
  <si>
    <t>CZ</t>
  </si>
  <si>
    <t>P01-RPN-S-OLV-ZIP</t>
  </si>
  <si>
    <t>B0XRCYDBWC</t>
  </si>
  <si>
    <t>X000471416</t>
  </si>
  <si>
    <t>Olive</t>
  </si>
  <si>
    <t>P01-RPN-S-OLV-WRZ</t>
  </si>
  <si>
    <t>B0GB7KNXE5</t>
  </si>
  <si>
    <t>X008670378</t>
  </si>
  <si>
    <t>P01-RPN-S-SLT-ZIP</t>
  </si>
  <si>
    <t>B0ETUDW98P</t>
  </si>
  <si>
    <t>X006181807</t>
  </si>
  <si>
    <t>Slate</t>
  </si>
  <si>
    <t>P01-RPN-S-SLT-WRZ</t>
  </si>
  <si>
    <t>B0SSNGP9SJ</t>
  </si>
  <si>
    <t>X004550121</t>
  </si>
  <si>
    <t>P01-RPN-S-SND-ZIP</t>
  </si>
  <si>
    <t>B0ENNGVK2S</t>
  </si>
  <si>
    <t>X005655057</t>
  </si>
  <si>
    <t>Sand</t>
  </si>
  <si>
    <t>P01-RPN-S-SND-WRZ</t>
  </si>
  <si>
    <t>B0AL1BEZ79</t>
  </si>
  <si>
    <t>X004980280</t>
  </si>
  <si>
    <t>P01-RPN-S-TRC-ZIP</t>
  </si>
  <si>
    <t>B0V9X9EN4J</t>
  </si>
  <si>
    <t>X005796444</t>
  </si>
  <si>
    <t>Terracotta</t>
  </si>
  <si>
    <t>P01-RPN-S-TRC-WRZ</t>
  </si>
  <si>
    <t>B0TA5B033S</t>
  </si>
  <si>
    <t>X007647195</t>
  </si>
  <si>
    <t>P01-RPN-M-BLK-ZIP</t>
  </si>
  <si>
    <t>B0X5GPGF5C</t>
  </si>
  <si>
    <t>X002366639</t>
  </si>
  <si>
    <t>M</t>
  </si>
  <si>
    <t>AX</t>
  </si>
  <si>
    <t>P01-RPN-M-BLK-WRZ</t>
  </si>
  <si>
    <t>B02B4BYCWG</t>
  </si>
  <si>
    <t>X006427927</t>
  </si>
  <si>
    <t>P01-RPN-M-NVY-ZIP</t>
  </si>
  <si>
    <t>B08QSFR923</t>
  </si>
  <si>
    <t>X004914727</t>
  </si>
  <si>
    <t>P01-RPN-M-NVY-WRZ</t>
  </si>
  <si>
    <t>B0ATKJ6FV0</t>
  </si>
  <si>
    <t>X007476436</t>
  </si>
  <si>
    <t>P01-RPN-M-OLV-ZIP</t>
  </si>
  <si>
    <t>B04K3NM2RE</t>
  </si>
  <si>
    <t>X007014136</t>
  </si>
  <si>
    <t>P01-RPN-M-OLV-WRZ</t>
  </si>
  <si>
    <t>B04P35KS5A</t>
  </si>
  <si>
    <t>X009954365</t>
  </si>
  <si>
    <t>P01-RPN-M-SLT-ZIP</t>
  </si>
  <si>
    <t>B0A05YEGFS</t>
  </si>
  <si>
    <t>X000024644</t>
  </si>
  <si>
    <t>P01-RPN-M-SLT-WRZ</t>
  </si>
  <si>
    <t>B0X5KJGT9Y</t>
  </si>
  <si>
    <t>X003558420</t>
  </si>
  <si>
    <t>P01-RPN-M-SND-ZIP</t>
  </si>
  <si>
    <t>B0CU0WJ4AJ</t>
  </si>
  <si>
    <t>X003166122</t>
  </si>
  <si>
    <t>P01-RPN-M-SND-WRZ</t>
  </si>
  <si>
    <t>B0NQQXSA3L</t>
  </si>
  <si>
    <t>X009922015</t>
  </si>
  <si>
    <t>P01-RPN-M-TRC-ZIP</t>
  </si>
  <si>
    <t>B0JCAUFTYA</t>
  </si>
  <si>
    <t>X002962659</t>
  </si>
  <si>
    <t>P01-RPN-M-TRC-WRZ</t>
  </si>
  <si>
    <t>B08ZX65J1A</t>
  </si>
  <si>
    <t>X004991807</t>
  </si>
  <si>
    <t>P01-RPN-L-BLK-ZIP</t>
  </si>
  <si>
    <t>B0UW7W3HFA</t>
  </si>
  <si>
    <t>X000736438</t>
  </si>
  <si>
    <t>L</t>
  </si>
  <si>
    <t>P01-RPN-L-BLK-WRZ</t>
  </si>
  <si>
    <t>B03RRC80XY</t>
  </si>
  <si>
    <t>X002010881</t>
  </si>
  <si>
    <t>P01-RPN-L-NVY-ZIP</t>
  </si>
  <si>
    <t>B0R6CLQV16</t>
  </si>
  <si>
    <t>X002397394</t>
  </si>
  <si>
    <t>P01-RPN-L-NVY-WRZ</t>
  </si>
  <si>
    <t>B0HE4X0579</t>
  </si>
  <si>
    <t>X001069125</t>
  </si>
  <si>
    <t>P01-RPN-L-OLV-ZIP</t>
  </si>
  <si>
    <t>B0XPSKE6VT</t>
  </si>
  <si>
    <t>X000707814</t>
  </si>
  <si>
    <t>P01-RPN-L-OLV-WRZ</t>
  </si>
  <si>
    <t>B04KX2DZA4</t>
  </si>
  <si>
    <t>X004563952</t>
  </si>
  <si>
    <t>P01-RPN-L-SLT-ZIP</t>
  </si>
  <si>
    <t>B0YXG0LJ5M</t>
  </si>
  <si>
    <t>X008171740</t>
  </si>
  <si>
    <t>P01-RPN-L-SLT-WRZ</t>
  </si>
  <si>
    <t>B0Y5L6XRTE</t>
  </si>
  <si>
    <t>X004678061</t>
  </si>
  <si>
    <t>P01-RPN-L-SND-ZIP</t>
  </si>
  <si>
    <t>B09U8TF7BJ</t>
  </si>
  <si>
    <t>X007698762</t>
  </si>
  <si>
    <t>P01-RPN-L-SND-WRZ</t>
  </si>
  <si>
    <t>B0E4CXE3NY</t>
  </si>
  <si>
    <t>X008245222</t>
  </si>
  <si>
    <t>P01-RPN-L-TRC-ZIP</t>
  </si>
  <si>
    <t>B0ZRUTY3V2</t>
  </si>
  <si>
    <t>X004531183</t>
  </si>
  <si>
    <t>P01-RPN-L-TRC-WRZ</t>
  </si>
  <si>
    <t>B0AX4XXL55</t>
  </si>
  <si>
    <t>X002514150</t>
  </si>
  <si>
    <t>P02-TPU-S-BLK-ZIP</t>
  </si>
  <si>
    <t>P02-CMP-BAG</t>
  </si>
  <si>
    <t>B0Q165U1EL</t>
  </si>
  <si>
    <t>X005683839</t>
  </si>
  <si>
    <t>TPU-Laminated Ripstop</t>
  </si>
  <si>
    <t>SUP-SZ-02</t>
  </si>
  <si>
    <t>P02-TPU-S-BLK-WRZ</t>
  </si>
  <si>
    <t>B0HRVSUJ1G</t>
  </si>
  <si>
    <t>X001822265</t>
  </si>
  <si>
    <t>P02-TPU-S-NVY-ZIP</t>
  </si>
  <si>
    <t>B0YE910CXH</t>
  </si>
  <si>
    <t>X008108104</t>
  </si>
  <si>
    <t>P02-TPU-S-NVY-WRZ</t>
  </si>
  <si>
    <t>B0XP3UUTW8</t>
  </si>
  <si>
    <t>X009385766</t>
  </si>
  <si>
    <t>P02-TPU-S-OLV-ZIP</t>
  </si>
  <si>
    <t>B0LSR4UJAH</t>
  </si>
  <si>
    <t>X009884736</t>
  </si>
  <si>
    <t>P02-TPU-S-OLV-WRZ</t>
  </si>
  <si>
    <t>B0M8924EG5</t>
  </si>
  <si>
    <t>X004623353</t>
  </si>
  <si>
    <t>P02-TPU-S-SLT-ZIP</t>
  </si>
  <si>
    <t>B0RBEC6P8A</t>
  </si>
  <si>
    <t>X007969847</t>
  </si>
  <si>
    <t>P02-TPU-S-SLT-WRZ</t>
  </si>
  <si>
    <t>B0BFJYUGN6</t>
  </si>
  <si>
    <t>X008557602</t>
  </si>
  <si>
    <t>P02-TPU-S-SND-ZIP</t>
  </si>
  <si>
    <t>B06Q16LPHV</t>
  </si>
  <si>
    <t>X009196606</t>
  </si>
  <si>
    <t>P02-TPU-S-SND-WRZ</t>
  </si>
  <si>
    <t>B0QK2HXQ4Y</t>
  </si>
  <si>
    <t>X009184547</t>
  </si>
  <si>
    <t>P02-TPU-S-TRC-ZIP</t>
  </si>
  <si>
    <t>B0ZTXY38QL</t>
  </si>
  <si>
    <t>X000056111</t>
  </si>
  <si>
    <t>P02-TPU-S-TRC-WRZ</t>
  </si>
  <si>
    <t>B0K0KGFPHQ</t>
  </si>
  <si>
    <t>X007975425</t>
  </si>
  <si>
    <t>P02-TPU-M-BLK-ZIP</t>
  </si>
  <si>
    <t>B04XU4S3Q2</t>
  </si>
  <si>
    <t>X004674972</t>
  </si>
  <si>
    <t>P02-TPU-M-BLK-WRZ</t>
  </si>
  <si>
    <t>B0NQBRWTRM</t>
  </si>
  <si>
    <t>X002735331</t>
  </si>
  <si>
    <t>P02-TPU-M-NVY-ZIP</t>
  </si>
  <si>
    <t>B0Y52XJERD</t>
  </si>
  <si>
    <t>X001715993</t>
  </si>
  <si>
    <t>P02-TPU-M-NVY-WRZ</t>
  </si>
  <si>
    <t>B0SLG4CNZ0</t>
  </si>
  <si>
    <t>X007894128</t>
  </si>
  <si>
    <t>P02-TPU-M-OLV-ZIP</t>
  </si>
  <si>
    <t>B0VM44GL1P</t>
  </si>
  <si>
    <t>X005004784</t>
  </si>
  <si>
    <t>P02-TPU-M-OLV-WRZ</t>
  </si>
  <si>
    <t>B0AYFAF0AH</t>
  </si>
  <si>
    <t>X009775139</t>
  </si>
  <si>
    <t>P02-TPU-M-SLT-ZIP</t>
  </si>
  <si>
    <t>B01VP9SU13</t>
  </si>
  <si>
    <t>X006906166</t>
  </si>
  <si>
    <t>P02-TPU-M-SLT-WRZ</t>
  </si>
  <si>
    <t>B03PWV088F</t>
  </si>
  <si>
    <t>X001878109</t>
  </si>
  <si>
    <t>P02-TPU-M-SND-ZIP</t>
  </si>
  <si>
    <t>B09NW10051</t>
  </si>
  <si>
    <t>X008698922</t>
  </si>
  <si>
    <t>P02-TPU-M-SND-WRZ</t>
  </si>
  <si>
    <t>B0U81NTYX4</t>
  </si>
  <si>
    <t>X007868840</t>
  </si>
  <si>
    <t>P02-TPU-M-TRC-ZIP</t>
  </si>
  <si>
    <t>B0F634PHJR</t>
  </si>
  <si>
    <t>X005608418</t>
  </si>
  <si>
    <t>P02-TPU-M-TRC-WRZ</t>
  </si>
  <si>
    <t>B0Q16093QH</t>
  </si>
  <si>
    <t>X009765006</t>
  </si>
  <si>
    <t>P02-TPU-L-BLK-ZIP</t>
  </si>
  <si>
    <t>B0017WFQD5</t>
  </si>
  <si>
    <t>X003071395</t>
  </si>
  <si>
    <t>P02-TPU-L-BLK-WRZ</t>
  </si>
  <si>
    <t>B0FJS8MVKF</t>
  </si>
  <si>
    <t>X001295345</t>
  </si>
  <si>
    <t>P02-TPU-L-NVY-ZIP</t>
  </si>
  <si>
    <t>B0JP8NFX55</t>
  </si>
  <si>
    <t>X004564941</t>
  </si>
  <si>
    <t>P02-TPU-L-NVY-WRZ</t>
  </si>
  <si>
    <t>B04Z4Y93AL</t>
  </si>
  <si>
    <t>X004764694</t>
  </si>
  <si>
    <t>P02-TPU-L-OLV-ZIP</t>
  </si>
  <si>
    <t>B05DU7YLLA</t>
  </si>
  <si>
    <t>X009024441</t>
  </si>
  <si>
    <t>P02-TPU-L-OLV-WRZ</t>
  </si>
  <si>
    <t>B073KBKLPJ</t>
  </si>
  <si>
    <t>X006566327</t>
  </si>
  <si>
    <t>P02-TPU-L-SLT-ZIP</t>
  </si>
  <si>
    <t>B0BJ6EJMHC</t>
  </si>
  <si>
    <t>X009587581</t>
  </si>
  <si>
    <t>P02-TPU-L-SLT-WRZ</t>
  </si>
  <si>
    <t>B0XUHQH9T8</t>
  </si>
  <si>
    <t>X003583401</t>
  </si>
  <si>
    <t>P02-TPU-L-SND-ZIP</t>
  </si>
  <si>
    <t>B012VUT129</t>
  </si>
  <si>
    <t>X005341730</t>
  </si>
  <si>
    <t>P02-TPU-L-SND-WRZ</t>
  </si>
  <si>
    <t>B0RW0EUQVE</t>
  </si>
  <si>
    <t>X003712661</t>
  </si>
  <si>
    <t>P02-TPU-L-TRC-ZIP</t>
  </si>
  <si>
    <t>B0HCHY2ZFS</t>
  </si>
  <si>
    <t>X004376177</t>
  </si>
  <si>
    <t>P02-TPU-L-TRC-WRZ</t>
  </si>
  <si>
    <t>B0DXMB0N7R</t>
  </si>
  <si>
    <t>X005417148</t>
  </si>
  <si>
    <t>P03-RPX-S-BLK-ZIP</t>
  </si>
  <si>
    <t>P03-TLT-KIT</t>
  </si>
  <si>
    <t>B0XZYJ6UTZ</t>
  </si>
  <si>
    <t>X006154833</t>
  </si>
  <si>
    <t>Recycled 600D Polyester</t>
  </si>
  <si>
    <t>SUP-NB-01</t>
  </si>
  <si>
    <t>P03-RPX-S-BLK-WRZ</t>
  </si>
  <si>
    <t>B02UR1EGFX</t>
  </si>
  <si>
    <t>X001312990</t>
  </si>
  <si>
    <t>P03-RPX-S-NVY-ZIP</t>
  </si>
  <si>
    <t>B0M7696GZK</t>
  </si>
  <si>
    <t>X007400228</t>
  </si>
  <si>
    <t>P03-RPX-S-NVY-WRZ</t>
  </si>
  <si>
    <t>B0UVMJNDNT</t>
  </si>
  <si>
    <t>X007607375</t>
  </si>
  <si>
    <t>P03-RPX-S-OLV-ZIP</t>
  </si>
  <si>
    <t>B0VBXUBGJS</t>
  </si>
  <si>
    <t>X006835493</t>
  </si>
  <si>
    <t>P03-RPX-S-OLV-WRZ</t>
  </si>
  <si>
    <t>B0K4UDBKGU</t>
  </si>
  <si>
    <t>X005510399</t>
  </si>
  <si>
    <t>P03-RPX-S-SLT-ZIP</t>
  </si>
  <si>
    <t>B0MMD60BA6</t>
  </si>
  <si>
    <t>X002069644</t>
  </si>
  <si>
    <t>P03-RPX-S-SLT-WRZ</t>
  </si>
  <si>
    <t>B0A4LK0E95</t>
  </si>
  <si>
    <t>X007567986</t>
  </si>
  <si>
    <t>P03-RPX-S-SND-ZIP</t>
  </si>
  <si>
    <t>B0VGZRNWHQ</t>
  </si>
  <si>
    <t>X002967480</t>
  </si>
  <si>
    <t>P03-RPX-S-SND-WRZ</t>
  </si>
  <si>
    <t>B03HQTENJY</t>
  </si>
  <si>
    <t>X006491912</t>
  </si>
  <si>
    <t>P03-RPX-S-TRC-ZIP</t>
  </si>
  <si>
    <t>B0TQYRMB04</t>
  </si>
  <si>
    <t>X002057948</t>
  </si>
  <si>
    <t>P03-RPX-S-TRC-WRZ</t>
  </si>
  <si>
    <t>B0ZVFBZ8D2</t>
  </si>
  <si>
    <t>X007602558</t>
  </si>
  <si>
    <t>P03-RPX-M-BLK-ZIP</t>
  </si>
  <si>
    <t>B09XFT811C</t>
  </si>
  <si>
    <t>X009031967</t>
  </si>
  <si>
    <t>P03-RPX-M-BLK-WRZ</t>
  </si>
  <si>
    <t>B0QNS0VRRD</t>
  </si>
  <si>
    <t>X008309216</t>
  </si>
  <si>
    <t>P03-RPX-M-NVY-ZIP</t>
  </si>
  <si>
    <t>B07VF0YH8P</t>
  </si>
  <si>
    <t>X005074686</t>
  </si>
  <si>
    <t>P03-RPX-M-NVY-WRZ</t>
  </si>
  <si>
    <t>B0N88EUHBS</t>
  </si>
  <si>
    <t>X008927543</t>
  </si>
  <si>
    <t>P03-RPX-M-OLV-ZIP</t>
  </si>
  <si>
    <t>B039JWV6P2</t>
  </si>
  <si>
    <t>X006347485</t>
  </si>
  <si>
    <t>P03-RPX-M-OLV-WRZ</t>
  </si>
  <si>
    <t>B0ZMASDJ44</t>
  </si>
  <si>
    <t>X005198775</t>
  </si>
  <si>
    <t>P03-RPX-M-SLT-ZIP</t>
  </si>
  <si>
    <t>B02DGX7GB4</t>
  </si>
  <si>
    <t>X001300325</t>
  </si>
  <si>
    <t>P03-RPX-M-SLT-WRZ</t>
  </si>
  <si>
    <t>B00AFYMVBF</t>
  </si>
  <si>
    <t>X004899755</t>
  </si>
  <si>
    <t>P03-RPX-M-SND-ZIP</t>
  </si>
  <si>
    <t>B0Z9BWD7KB</t>
  </si>
  <si>
    <t>X008935972</t>
  </si>
  <si>
    <t>P03-RPX-M-SND-WRZ</t>
  </si>
  <si>
    <t>B0LMN0AV8A</t>
  </si>
  <si>
    <t>X003113802</t>
  </si>
  <si>
    <t>P03-RPX-M-TRC-ZIP</t>
  </si>
  <si>
    <t>B02K8SKSME</t>
  </si>
  <si>
    <t>X008499562</t>
  </si>
  <si>
    <t>P03-RPX-M-TRC-WRZ</t>
  </si>
  <si>
    <t>B0TNW9SF65</t>
  </si>
  <si>
    <t>X005314639</t>
  </si>
  <si>
    <t>P03-RPX-L-BLK-ZIP</t>
  </si>
  <si>
    <t>B0SHXE41XY</t>
  </si>
  <si>
    <t>X007120025</t>
  </si>
  <si>
    <t>P03-RPX-L-BLK-WRZ</t>
  </si>
  <si>
    <t>B02ZF8HSA1</t>
  </si>
  <si>
    <t>X000816370</t>
  </si>
  <si>
    <t>P03-RPX-L-NVY-ZIP</t>
  </si>
  <si>
    <t>B0WPF7ZAGD</t>
  </si>
  <si>
    <t>X002410214</t>
  </si>
  <si>
    <t>P03-RPX-L-NVY-WRZ</t>
  </si>
  <si>
    <t>B0V503H9G0</t>
  </si>
  <si>
    <t>X003445748</t>
  </si>
  <si>
    <t>P03-RPX-L-OLV-ZIP</t>
  </si>
  <si>
    <t>B0J87AL8XG</t>
  </si>
  <si>
    <t>X008632732</t>
  </si>
  <si>
    <t>P03-RPX-L-OLV-WRZ</t>
  </si>
  <si>
    <t>B0XG1GFVQ6</t>
  </si>
  <si>
    <t>X001603109</t>
  </si>
  <si>
    <t>P03-RPX-L-SLT-ZIP</t>
  </si>
  <si>
    <t>B030X6T153</t>
  </si>
  <si>
    <t>X007642052</t>
  </si>
  <si>
    <t>P03-RPX-L-SLT-WRZ</t>
  </si>
  <si>
    <t>B0LPUG09VJ</t>
  </si>
  <si>
    <t>X006418798</t>
  </si>
  <si>
    <t>P03-RPX-L-SND-ZIP</t>
  </si>
  <si>
    <t>B0988XJFYL</t>
  </si>
  <si>
    <t>X009903781</t>
  </si>
  <si>
    <t>P03-RPX-L-SND-WRZ</t>
  </si>
  <si>
    <t>B0AJT3LA7H</t>
  </si>
  <si>
    <t>X004638080</t>
  </si>
  <si>
    <t>P03-RPX-L-TRC-ZIP</t>
  </si>
  <si>
    <t>B0RBD0P5NQ</t>
  </si>
  <si>
    <t>X008737831</t>
  </si>
  <si>
    <t>P03-RPX-L-TRC-WRZ</t>
  </si>
  <si>
    <t>B0W5L84S4N</t>
  </si>
  <si>
    <t>X006017519</t>
  </si>
  <si>
    <t>P04-FLT-CMP-BLK-ZIP</t>
  </si>
  <si>
    <t>P04-TCH-ORG</t>
  </si>
  <si>
    <t>B090X0JZKK</t>
  </si>
  <si>
    <t>X003158084</t>
  </si>
  <si>
    <t>Recycled Felt</t>
  </si>
  <si>
    <t>Compact</t>
  </si>
  <si>
    <t>SUP-SZ-03</t>
  </si>
  <si>
    <t>P04-FLT-CMP-BLK-WRZ</t>
  </si>
  <si>
    <t>B0J5M69Q1F</t>
  </si>
  <si>
    <t>X005123698</t>
  </si>
  <si>
    <t>P04-FLT-CMP-NVY-ZIP</t>
  </si>
  <si>
    <t>B0601L57UV</t>
  </si>
  <si>
    <t>X008266155</t>
  </si>
  <si>
    <t>P04-FLT-CMP-NVY-WRZ</t>
  </si>
  <si>
    <t>B0DRPJQRK9</t>
  </si>
  <si>
    <t>X007791495</t>
  </si>
  <si>
    <t>P04-FLT-CMP-OLV-ZIP</t>
  </si>
  <si>
    <t>B0Y01TCHED</t>
  </si>
  <si>
    <t>X009078631</t>
  </si>
  <si>
    <t>P04-FLT-CMP-OLV-WRZ</t>
  </si>
  <si>
    <t>B0PF5CY96P</t>
  </si>
  <si>
    <t>X001989922</t>
  </si>
  <si>
    <t>P04-FLT-CMP-SLT-ZIP</t>
  </si>
  <si>
    <t>B0BFVQMVMC</t>
  </si>
  <si>
    <t>X004507675</t>
  </si>
  <si>
    <t>P04-FLT-CMP-SLT-WRZ</t>
  </si>
  <si>
    <t>B0SYKF3SWP</t>
  </si>
  <si>
    <t>X008875002</t>
  </si>
  <si>
    <t>P04-FLT-CMP-SND-ZIP</t>
  </si>
  <si>
    <t>B0ERF07ZZC</t>
  </si>
  <si>
    <t>X008798636</t>
  </si>
  <si>
    <t>P04-FLT-CMP-SND-WRZ</t>
  </si>
  <si>
    <t>B0ABLKKDD0</t>
  </si>
  <si>
    <t>X006595401</t>
  </si>
  <si>
    <t>P04-FLT-CMP-TRC-ZIP</t>
  </si>
  <si>
    <t>B0BCCDS4B5</t>
  </si>
  <si>
    <t>X003603097</t>
  </si>
  <si>
    <t>P04-FLT-CMP-TRC-WRZ</t>
  </si>
  <si>
    <t>B0863GRKVB</t>
  </si>
  <si>
    <t>X002429145</t>
  </si>
  <si>
    <t>P04-FLT-LRG-BLK-ZIP</t>
  </si>
  <si>
    <t>B01FF8410G</t>
  </si>
  <si>
    <t>X000926648</t>
  </si>
  <si>
    <t>Large</t>
  </si>
  <si>
    <t>P04-FLT-LRG-BLK-WRZ</t>
  </si>
  <si>
    <t>B03784AASA</t>
  </si>
  <si>
    <t>X008791969</t>
  </si>
  <si>
    <t>P04-FLT-LRG-NVY-ZIP</t>
  </si>
  <si>
    <t>B0CYL2D4YA</t>
  </si>
  <si>
    <t>X002540887</t>
  </si>
  <si>
    <t>P04-FLT-LRG-NVY-WRZ</t>
  </si>
  <si>
    <t>B0LDJH528F</t>
  </si>
  <si>
    <t>X001183557</t>
  </si>
  <si>
    <t>P04-FLT-LRG-OLV-ZIP</t>
  </si>
  <si>
    <t>B0RAUCUD3R</t>
  </si>
  <si>
    <t>X000702694</t>
  </si>
  <si>
    <t>P04-FLT-LRG-OLV-WRZ</t>
  </si>
  <si>
    <t>B047WQ3D86</t>
  </si>
  <si>
    <t>X008616404</t>
  </si>
  <si>
    <t>P04-FLT-LRG-SLT-ZIP</t>
  </si>
  <si>
    <t>B068VQ4UKV</t>
  </si>
  <si>
    <t>X007355723</t>
  </si>
  <si>
    <t>P04-FLT-LRG-SLT-WRZ</t>
  </si>
  <si>
    <t>B08A51X2W0</t>
  </si>
  <si>
    <t>X007352445</t>
  </si>
  <si>
    <t>P04-FLT-LRG-SND-ZIP</t>
  </si>
  <si>
    <t>B0DJUEC4C4</t>
  </si>
  <si>
    <t>X001904891</t>
  </si>
  <si>
    <t>P04-FLT-LRG-SND-WRZ</t>
  </si>
  <si>
    <t>B05CJY758V</t>
  </si>
  <si>
    <t>X000311903</t>
  </si>
  <si>
    <t>P04-FLT-LRG-TRC-ZIP</t>
  </si>
  <si>
    <t>B0XL2FZDHJ</t>
  </si>
  <si>
    <t>X006189188</t>
  </si>
  <si>
    <t>P04-FLT-LRG-TRC-WRZ</t>
  </si>
  <si>
    <t>B0RCFU5UXP</t>
  </si>
  <si>
    <t>X003509307</t>
  </si>
  <si>
    <t>P05-WAX-STD-BLK-DST</t>
  </si>
  <si>
    <t>P05-SHO-BAG</t>
  </si>
  <si>
    <t>B0NM1RMSU7</t>
  </si>
  <si>
    <t>X002954267</t>
  </si>
  <si>
    <t>Waxed Cotton Canvas</t>
  </si>
  <si>
    <t>Standard</t>
  </si>
  <si>
    <t>Drawstring</t>
  </si>
  <si>
    <t>SUP-NB-02</t>
  </si>
  <si>
    <t>P05-WAX-STD-BLK-ZIP</t>
  </si>
  <si>
    <t>B00JZ99V2D</t>
  </si>
  <si>
    <t>X004714176</t>
  </si>
  <si>
    <t>Zip</t>
  </si>
  <si>
    <t>P05-WAX-STD-NVY-DST</t>
  </si>
  <si>
    <t>B0GD5XNAEQ</t>
  </si>
  <si>
    <t>X007436650</t>
  </si>
  <si>
    <t>P05-WAX-STD-NVY-ZIP</t>
  </si>
  <si>
    <t>B0GLYHBJ63</t>
  </si>
  <si>
    <t>X006985094</t>
  </si>
  <si>
    <t>P05-WAX-STD-OLV-DST</t>
  </si>
  <si>
    <t>B09WRR9ZFJ</t>
  </si>
  <si>
    <t>X007613397</t>
  </si>
  <si>
    <t>P05-WAX-STD-OLV-ZIP</t>
  </si>
  <si>
    <t>B0CQRDDWK5</t>
  </si>
  <si>
    <t>X007557934</t>
  </si>
  <si>
    <t>P05-WAX-STD-SND-DST</t>
  </si>
  <si>
    <t>B06NDBPDFE</t>
  </si>
  <si>
    <t>X002180361</t>
  </si>
  <si>
    <t>P05-WAX-STD-SND-ZIP</t>
  </si>
  <si>
    <t>B0NQNA0WBT</t>
  </si>
  <si>
    <t>X001179872</t>
  </si>
  <si>
    <t>P05-WAX-LRG-BLK-DST</t>
  </si>
  <si>
    <t>B0XN54V9S4</t>
  </si>
  <si>
    <t>X002226997</t>
  </si>
  <si>
    <t>P05-WAX-LRG-BLK-ZIP</t>
  </si>
  <si>
    <t>B06YJJPSYK</t>
  </si>
  <si>
    <t>X006723603</t>
  </si>
  <si>
    <t>P05-WAX-LRG-NVY-DST</t>
  </si>
  <si>
    <t>B0QZHDEPJ0</t>
  </si>
  <si>
    <t>X005478963</t>
  </si>
  <si>
    <t>P05-WAX-LRG-NVY-ZIP</t>
  </si>
  <si>
    <t>B0F5XUVBAV</t>
  </si>
  <si>
    <t>X005744683</t>
  </si>
  <si>
    <t>P05-WAX-LRG-OLV-DST</t>
  </si>
  <si>
    <t>B0T8DXYXAU</t>
  </si>
  <si>
    <t>X009907972</t>
  </si>
  <si>
    <t>P05-WAX-LRG-OLV-ZIP</t>
  </si>
  <si>
    <t>B0R3GMFP8L</t>
  </si>
  <si>
    <t>X006623245</t>
  </si>
  <si>
    <t>P05-WAX-LRG-SND-DST</t>
  </si>
  <si>
    <t>B0CD97NT9V</t>
  </si>
  <si>
    <t>X005130034</t>
  </si>
  <si>
    <t>P05-WAX-LRG-SND-ZIP</t>
  </si>
  <si>
    <t>B0T4U74PSL</t>
  </si>
  <si>
    <t>X001134921</t>
  </si>
  <si>
    <t>P06-MSH-S-BLK-DST</t>
  </si>
  <si>
    <t>P06-LAU-BAG</t>
  </si>
  <si>
    <t>B0Y50EDMVX</t>
  </si>
  <si>
    <t>X002960915</t>
  </si>
  <si>
    <t>Recycled Poly Mesh</t>
  </si>
  <si>
    <t>SUP-NB-03</t>
  </si>
  <si>
    <t>P06-MSH-S-NVY-DST</t>
  </si>
  <si>
    <t>B0S89GW7NF</t>
  </si>
  <si>
    <t>X001785114</t>
  </si>
  <si>
    <t>P06-MSH-S-OLV-DST</t>
  </si>
  <si>
    <t>B0HJ8HAPTN</t>
  </si>
  <si>
    <t>X000909051</t>
  </si>
  <si>
    <t>P06-MSH-S-SND-DST</t>
  </si>
  <si>
    <t>B03PQ4ZAAA</t>
  </si>
  <si>
    <t>X004142036</t>
  </si>
  <si>
    <t>P06-MSH-M-BLK-DST</t>
  </si>
  <si>
    <t>B0RCBSPUWT</t>
  </si>
  <si>
    <t>X009433277</t>
  </si>
  <si>
    <t>P06-MSH-M-NVY-DST</t>
  </si>
  <si>
    <t>B0T5G7W94K</t>
  </si>
  <si>
    <t>X008903135</t>
  </si>
  <si>
    <t>P06-MSH-M-OLV-DST</t>
  </si>
  <si>
    <t>B092H1702E</t>
  </si>
  <si>
    <t>X008700367</t>
  </si>
  <si>
    <t>P06-MSH-M-SND-DST</t>
  </si>
  <si>
    <t>B0TB5042V9</t>
  </si>
  <si>
    <t>X008554800</t>
  </si>
  <si>
    <t>P06-MSH-L-BLK-DST</t>
  </si>
  <si>
    <t>B0EDJRK8BR</t>
  </si>
  <si>
    <t>X002557743</t>
  </si>
  <si>
    <t>P06-MSH-L-NVY-DST</t>
  </si>
  <si>
    <t>B0CD7M7NRY</t>
  </si>
  <si>
    <t>X001703111</t>
  </si>
  <si>
    <t>P06-MSH-L-OLV-DST</t>
  </si>
  <si>
    <t>B01T2DPZV4</t>
  </si>
  <si>
    <t>X009614931</t>
  </si>
  <si>
    <t>P06-MSH-L-SND-DST</t>
  </si>
  <si>
    <t>B0VYZYVF6L</t>
  </si>
  <si>
    <t>X002469227</t>
  </si>
  <si>
    <t>02 · DEMAND UNCONSTRAINING · CENSORED → LATENT VELOCITY</t>
  </si>
  <si>
    <t>Recovery ladder: active-day exposure τ · sister-SKU imputation with γ=10% · 90-day and lifetime fallbacks.  K takes H when τ&gt;0, else Y, else J.  The κ=7 blend is a rejected diagnostic, not the shipped rule.  Red rows have &lt;20 active days in the 30-day window.</t>
  </si>
  <si>
    <t>tier</t>
  </si>
  <si>
    <t>FBA share</t>
  </si>
  <si>
    <t>FBA sales 30d</t>
  </si>
  <si>
    <t>Active days 30d</t>
  </si>
  <si>
    <t>Naive 30d u/d</t>
  </si>
  <si>
    <t>Active-day u/d</t>
  </si>
  <si>
    <t>90d baseline u/d</t>
  </si>
  <si>
    <t>Cross-sectional u/d</t>
  </si>
  <si>
    <t>D_FBA unconstrained</t>
  </si>
  <si>
    <t>σ_FBA</t>
  </si>
  <si>
    <t>DTC sales 30d</t>
  </si>
  <si>
    <t>DTC active days</t>
  </si>
  <si>
    <t>DTC naive u/d</t>
  </si>
  <si>
    <t>DTC active u/d</t>
  </si>
  <si>
    <t>D_DTC unconstrained</t>
  </si>
  <si>
    <t>D_Global unconstrained</t>
  </si>
  <si>
    <t>σ_Global</t>
  </si>
  <si>
    <t>Stockout ratio</t>
  </si>
  <si>
    <t>Unconstraining uplift</t>
  </si>
  <si>
    <t>Exposure ratio</t>
  </si>
  <si>
    <t>Stockout days 30d</t>
  </si>
  <si>
    <t>Alert</t>
  </si>
  <si>
    <t>Fallback pool u/d</t>
  </si>
  <si>
    <t>03 · FBA NIVEL 1 · 3PL → FBA TRANSFER &amp; FEE SHIELD</t>
  </si>
  <si>
    <t>Effective HDoS = MAX(30d, 90d). B_FBA = MAX(SS1, 32·D_FBA) for non-exempt heroes. Transfers are age-safe master-carton multiples (120-day cap).</t>
  </si>
  <si>
    <t>FBA available</t>
  </si>
  <si>
    <t>IP_FBA</t>
  </si>
  <si>
    <t>HDoS 30d</t>
  </si>
  <si>
    <t>HDoS 90d</t>
  </si>
  <si>
    <t>Effective HDoS</t>
  </si>
  <si>
    <t>Fee / unit</t>
  </si>
  <si>
    <t>Fee exempt</t>
  </si>
  <si>
    <t>D_FBA u/d</t>
  </si>
  <si>
    <t>SS1</t>
  </si>
  <si>
    <t>B_FBA shield</t>
  </si>
  <si>
    <t>ROP1</t>
  </si>
  <si>
    <t>S_max1</t>
  </si>
  <si>
    <t>3PL cartons avail</t>
  </si>
  <si>
    <t>Age-safe cartons</t>
  </si>
  <si>
    <t>Transfer units</t>
  </si>
  <si>
    <t>Transfer cartons</t>
  </si>
  <si>
    <t>FC transfer</t>
  </si>
  <si>
    <t>Inbound shipped</t>
  </si>
  <si>
    <t>Inbound receiving</t>
  </si>
  <si>
    <t>Transfer CBM</t>
  </si>
  <si>
    <t>Post-transfer DOS</t>
  </si>
  <si>
    <t>Fee exposure</t>
  </si>
  <si>
    <t>Carton check</t>
  </si>
  <si>
    <t>04 · FACTORY NIVEL 2 · MOQ RECONCILIATION &amp; CONTAINER KNAPSACK</t>
  </si>
  <si>
    <t>Plan: FCL_20GP · base 26.910 CBM + top-up 1.860 CBM = 28.770 / 28.8 CBM. Base units are container-trimmed; tier-A top-up cartons are the greedy marginal-profit allocation.</t>
  </si>
  <si>
    <t>3PL on hand</t>
  </si>
  <si>
    <t>Allocated DTC</t>
  </si>
  <si>
    <t>IP_System</t>
  </si>
  <si>
    <t>D_Global u/d</t>
  </si>
  <si>
    <t>Z</t>
  </si>
  <si>
    <t>SS2</t>
  </si>
  <si>
    <t>B_FBA</t>
  </si>
  <si>
    <t>ROP2 system</t>
  </si>
  <si>
    <t>S_max2</t>
  </si>
  <si>
    <t>MOQ cartons</t>
  </si>
  <si>
    <t>Days to breach</t>
  </si>
  <si>
    <t>Executable PO units</t>
  </si>
  <si>
    <t>Policy line CBM</t>
  </si>
  <si>
    <t>Base units</t>
  </si>
  <si>
    <t>Top-up cartons</t>
  </si>
  <si>
    <t>Top-up units</t>
  </si>
  <si>
    <t>Total units</t>
  </si>
  <si>
    <t>Total cartons</t>
  </si>
  <si>
    <t>Total CBM</t>
  </si>
  <si>
    <t>MOQ check</t>
  </si>
  <si>
    <t>DOS check</t>
  </si>
  <si>
    <t>Deferred cartons</t>
  </si>
  <si>
    <t>Pulled forward</t>
  </si>
  <si>
    <t>05 · FEE RISK AUDIT · PRE-15th AGED-CLIFF REMOVAL</t>
  </si>
  <si>
    <t>2026 Aged Inventory Surcharge by bucket, including the 271-day $5.45/ft³ cliff and $0.30/$0.35 unit floors. Removal is recommended when the $0.84/unit removal cost pays back within 12 months.</t>
  </si>
  <si>
    <t>Unit ft³</t>
  </si>
  <si>
    <t>0-90d</t>
  </si>
  <si>
    <t>91-180d</t>
  </si>
  <si>
    <t>181-270d</t>
  </si>
  <si>
    <t>271-365d</t>
  </si>
  <si>
    <t>366d+</t>
  </si>
  <si>
    <t>AIS 181-270</t>
  </si>
  <si>
    <t>AIS 271-365</t>
  </si>
  <si>
    <t>AIS 366+</t>
  </si>
  <si>
    <t>Monthly AIS</t>
  </si>
  <si>
    <t>Removal units</t>
  </si>
  <si>
    <t>Removal cost</t>
  </si>
  <si>
    <t>Payback months</t>
  </si>
  <si>
    <t>Recommendation</t>
  </si>
  <si>
    <t>Annualised AIS</t>
  </si>
  <si>
    <t>Net annual saving</t>
  </si>
  <si>
    <t>Action window</t>
  </si>
  <si>
    <t>Units &gt;180d</t>
  </si>
  <si>
    <t>Note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</si>
</sst>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7">
    <numFmt numFmtId="164" formatCode="&quot;$&quot;#,##0"/>
    <numFmt numFmtId="165" formatCode="&quot;$&quot;#,##0.00"/>
    <numFmt numFmtId="166" formatCode="0.000"/>
    <numFmt numFmtId="167" formatCode="0.0%"/>
    <numFmt numFmtId="168" formatCode="0.0000"/>
    <numFmt numFmtId="169" formatCode="0.000000"/>
    <numFmt numFmtId="170" formatCode="0.00000"/>
  </numFmts>
  <fonts count="9" x14ac:knownFonts="1">
    <font>
      <sz val="11"/>
      <color theme="1"/>
      <name val="Calibri"/>
      <family val="2"/>
      <scheme val="minor"/>
    </font>
    <font>
      <b/>
      <sz val="16"/>
      <color rgb="FFFFFFFF"/>
      <name val="Calibri"/>
    </font>
    <font>
      <i/>
      <sz val="10"/>
      <color rgb="FFFFFFFF"/>
      <name val="Calibri"/>
    </font>
    <font>
      <b/>
      <sz val="11"/>
      <color rgb="FFFFFFFF"/>
      <name val="Calibri"/>
    </font>
    <font>
      <b/>
      <sz val="9"/>
      <color rgb="FFFFFFFF"/>
      <name val="Calibri"/>
    </font>
    <font>
      <b/>
      <sz val="9"/>
      <color rgb="FF404040"/>
      <name val="Calibri"/>
    </font>
    <font>
      <sz val="9"/>
      <color rgb="FF404040"/>
      <name val="Calibri"/>
    </font>
    <font>
      <sz val="8"/>
      <color rgb="FF7F7F7F"/>
      <name val="Calibri"/>
    </font>
    <font>
      <b/>
      <sz val="12"/>
      <color rgb="FF1F3864"/>
      <name val="Consolas"/>
    </font>
  </fonts>
  <fills count="10">
    <fill>
      <patternFill patternType="none"/>
    </fill>
    <fill>
      <patternFill patternType="gray125"/>
    </fill>
    <fill>
      <patternFill patternType="solid">
        <fgColor rgb="FF1F3864"/>
      </patternFill>
    </fill>
    <fill>
      <patternFill patternType="solid">
        <fgColor rgb="FF2F5597"/>
      </patternFill>
    </fill>
    <fill>
      <patternFill patternType="solid">
        <fgColor rgb="FFF2F2F2"/>
      </patternFill>
    </fill>
    <fill>
      <patternFill patternType="solid">
        <fgColor rgb="FFE6F4EA"/>
      </patternFill>
    </fill>
    <fill>
      <patternFill patternType="solid">
        <fgColor rgb="FFD9E2F3"/>
      </patternFill>
    </fill>
    <fill>
      <patternFill patternType="solid">
        <fgColor rgb="FFFCE8E6"/>
      </patternFill>
    </fill>
    <fill>
      <patternFill patternType="solid">
        <fgColor rgb="FFFEF7E0"/>
      </patternFill>
    </fill>
    <fill>
      <patternFill patternType="solid">
        <fgColor rgb="FFF3E8FD"/>
      </patternFill>
    </fill>
  </fills>
  <borders count="3">
    <border>
      <left/>
      <right/>
      <top/>
      <bottom/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  <border>
      <left style="thin">
        <color rgb="FFBFBFBF"/>
      </left>
      <right style="thin">
        <color rgb="FFBFBFBF"/>
      </right>
      <top/>
      <bottom style="medium">
        <color rgb="FF1F3864"/>
      </bottom>
      <diagonal/>
    </border>
  </borders>
  <cellStyleXfs count="1">
    <xf numFmtId="0" fontId="0" fillId="0" borderId="0"/>
  </cellStyleXfs>
  <cellXfs count="63">
    <xf numFmtId="0" fontId="0" fillId="0" borderId="0" xfId="0"/>
    <xf numFmtId="0" fontId="4" fillId="2" borderId="1" xfId="0" applyFont="1" applyFill="1" applyBorder="1" applyAlignment="1">
      <alignment horizontal="center" vertical="center"/>
    </xf>
    <xf numFmtId="0" fontId="5" fillId="4" borderId="1" xfId="0" applyFont="1" applyFill="1" applyBorder="1" applyAlignment="1">
      <alignment vertical="center"/>
    </xf>
    <xf numFmtId="3" fontId="5" fillId="5" borderId="1" xfId="0" applyNumberFormat="1" applyFont="1" applyFill="1" applyBorder="1" applyAlignment="1">
      <alignment horizontal="right" vertical="center"/>
    </xf>
    <xf numFmtId="0" fontId="6" fillId="0" borderId="1" xfId="0" applyFont="1" applyBorder="1" applyAlignment="1">
      <alignment horizontal="center" vertical="center"/>
    </xf>
    <xf numFmtId="0" fontId="7" fillId="0" borderId="1" xfId="0" applyFont="1" applyBorder="1" applyAlignment="1">
      <alignment vertical="center"/>
    </xf>
    <xf numFmtId="0" fontId="5" fillId="0" borderId="1" xfId="0" applyFont="1" applyBorder="1" applyAlignment="1">
      <alignment horizontal="center" vertical="center"/>
    </xf>
    <xf numFmtId="164" fontId="5" fillId="5" borderId="1" xfId="0" applyNumberFormat="1" applyFont="1" applyFill="1" applyBorder="1" applyAlignment="1">
      <alignment horizontal="right" vertical="center"/>
    </xf>
    <xf numFmtId="3" fontId="5" fillId="6" borderId="1" xfId="0" applyNumberFormat="1" applyFont="1" applyFill="1" applyBorder="1" applyAlignment="1">
      <alignment horizontal="right" vertical="center"/>
    </xf>
    <xf numFmtId="165" fontId="5" fillId="6" borderId="1" xfId="0" applyNumberFormat="1" applyFont="1" applyFill="1" applyBorder="1" applyAlignment="1">
      <alignment horizontal="right" vertical="center"/>
    </xf>
    <xf numFmtId="166" fontId="5" fillId="6" borderId="1" xfId="0" applyNumberFormat="1" applyFont="1" applyFill="1" applyBorder="1" applyAlignment="1">
      <alignment horizontal="right" vertical="center"/>
    </xf>
    <xf numFmtId="167" fontId="5" fillId="6" borderId="1" xfId="0" applyNumberFormat="1" applyFont="1" applyFill="1" applyBorder="1" applyAlignment="1">
      <alignment horizontal="right" vertical="center"/>
    </xf>
    <xf numFmtId="0" fontId="5" fillId="6" borderId="1" xfId="0" applyFont="1" applyFill="1" applyBorder="1" applyAlignment="1">
      <alignment horizontal="right" vertical="center"/>
    </xf>
    <xf numFmtId="164" fontId="5" fillId="6" borderId="1" xfId="0" applyNumberFormat="1" applyFont="1" applyFill="1" applyBorder="1" applyAlignment="1">
      <alignment horizontal="right" vertical="center"/>
    </xf>
    <xf numFmtId="0" fontId="4" fillId="3" borderId="1" xfId="0" applyFont="1" applyFill="1" applyBorder="1" applyAlignment="1">
      <alignment horizontal="center" vertical="center"/>
    </xf>
    <xf numFmtId="0" fontId="5" fillId="7" borderId="1" xfId="0" applyFont="1" applyFill="1" applyBorder="1" applyAlignment="1">
      <alignment horizontal="center" vertical="center"/>
    </xf>
    <xf numFmtId="0" fontId="6" fillId="0" borderId="1" xfId="0" applyFont="1" applyBorder="1" applyAlignment="1">
      <alignment vertical="center"/>
    </xf>
    <xf numFmtId="3" fontId="5" fillId="0" borderId="1" xfId="0" applyNumberFormat="1" applyFont="1" applyBorder="1" applyAlignment="1">
      <alignment horizontal="center" vertical="center"/>
    </xf>
    <xf numFmtId="0" fontId="6" fillId="0" borderId="1" xfId="0" applyFont="1" applyBorder="1" applyAlignment="1">
      <alignment vertical="center" wrapText="1"/>
    </xf>
    <xf numFmtId="0" fontId="5" fillId="8" borderId="1" xfId="0" applyFont="1" applyFill="1" applyBorder="1" applyAlignment="1">
      <alignment horizontal="center" vertical="center"/>
    </xf>
    <xf numFmtId="0" fontId="5" fillId="9" borderId="1" xfId="0" applyFont="1" applyFill="1" applyBorder="1" applyAlignment="1">
      <alignment horizontal="center" vertical="center"/>
    </xf>
    <xf numFmtId="0" fontId="5" fillId="5" borderId="1" xfId="0" applyFont="1" applyFill="1" applyBorder="1" applyAlignment="1">
      <alignment horizontal="center" vertical="center"/>
    </xf>
    <xf numFmtId="3" fontId="5" fillId="6" borderId="1" xfId="0" applyNumberFormat="1" applyFont="1" applyFill="1" applyBorder="1" applyAlignment="1">
      <alignment horizontal="center" vertical="center"/>
    </xf>
    <xf numFmtId="4" fontId="5" fillId="6" borderId="1" xfId="0" applyNumberFormat="1" applyFont="1" applyFill="1" applyBorder="1" applyAlignment="1">
      <alignment horizontal="center" vertical="center"/>
    </xf>
    <xf numFmtId="167" fontId="5" fillId="6" borderId="1" xfId="0" applyNumberFormat="1" applyFont="1" applyFill="1" applyBorder="1" applyAlignment="1">
      <alignment horizontal="center" vertical="center"/>
    </xf>
    <xf numFmtId="165" fontId="5" fillId="6" borderId="1" xfId="0" applyNumberFormat="1" applyFont="1" applyFill="1" applyBorder="1" applyAlignment="1">
      <alignment horizontal="center" vertical="center"/>
    </xf>
    <xf numFmtId="0" fontId="5" fillId="6" borderId="1" xfId="0" applyFont="1" applyFill="1" applyBorder="1" applyAlignment="1">
      <alignment horizontal="center" vertical="center"/>
    </xf>
    <xf numFmtId="0" fontId="4" fillId="2" borderId="2" xfId="0" applyFont="1" applyFill="1" applyBorder="1" applyAlignment="1">
      <alignment horizontal="center" vertical="center" wrapText="1"/>
    </xf>
    <xf numFmtId="1" fontId="6" fillId="0" borderId="1" xfId="0" applyNumberFormat="1" applyFont="1" applyBorder="1" applyAlignment="1">
      <alignment vertical="center"/>
    </xf>
    <xf numFmtId="166" fontId="6" fillId="0" borderId="1" xfId="0" applyNumberFormat="1" applyFont="1" applyBorder="1" applyAlignment="1">
      <alignment vertical="center"/>
    </xf>
    <xf numFmtId="168" fontId="6" fillId="0" borderId="1" xfId="0" applyNumberFormat="1" applyFont="1" applyBorder="1" applyAlignment="1">
      <alignment vertical="center"/>
    </xf>
    <xf numFmtId="4" fontId="6" fillId="0" borderId="1" xfId="0" applyNumberFormat="1" applyFont="1" applyBorder="1" applyAlignment="1">
      <alignment vertical="center"/>
    </xf>
    <xf numFmtId="165" fontId="6" fillId="0" borderId="1" xfId="0" applyNumberFormat="1" applyFont="1" applyBorder="1" applyAlignment="1">
      <alignment vertical="center"/>
    </xf>
    <xf numFmtId="169" fontId="6" fillId="0" borderId="1" xfId="0" applyNumberFormat="1" applyFont="1" applyBorder="1" applyAlignment="1">
      <alignment vertical="center"/>
    </xf>
    <xf numFmtId="170" fontId="6" fillId="0" borderId="1" xfId="0" applyNumberFormat="1" applyFont="1" applyBorder="1" applyAlignment="1">
      <alignment vertical="center"/>
    </xf>
    <xf numFmtId="167" fontId="6" fillId="0" borderId="1" xfId="0" applyNumberFormat="1" applyFont="1" applyBorder="1" applyAlignment="1">
      <alignment vertical="center"/>
    </xf>
    <xf numFmtId="0" fontId="5" fillId="0" borderId="1" xfId="0" applyFont="1" applyBorder="1" applyAlignment="1">
      <alignment vertical="center"/>
    </xf>
    <xf numFmtId="167" fontId="6" fillId="0" borderId="1" xfId="0" applyNumberFormat="1" applyFont="1" applyBorder="1" applyAlignment="1">
      <alignment horizontal="center" vertical="center"/>
    </xf>
    <xf numFmtId="168" fontId="5" fillId="5" borderId="1" xfId="0" applyNumberFormat="1" applyFont="1" applyFill="1" applyBorder="1" applyAlignment="1">
      <alignment vertical="center"/>
    </xf>
    <xf numFmtId="168" fontId="5" fillId="0" borderId="1" xfId="0" applyNumberFormat="1" applyFont="1" applyBorder="1" applyAlignment="1">
      <alignment vertical="center"/>
    </xf>
    <xf numFmtId="4" fontId="6" fillId="0" borderId="1" xfId="0" applyNumberFormat="1" applyFont="1" applyBorder="1" applyAlignment="1">
      <alignment horizontal="center" vertical="center"/>
    </xf>
    <xf numFmtId="3" fontId="6" fillId="0" borderId="1" xfId="0" applyNumberFormat="1" applyFont="1" applyBorder="1" applyAlignment="1">
      <alignment vertical="center"/>
    </xf>
    <xf numFmtId="4" fontId="5" fillId="0" borderId="1" xfId="0" applyNumberFormat="1" applyFont="1" applyBorder="1" applyAlignment="1">
      <alignment vertical="center"/>
    </xf>
    <xf numFmtId="4" fontId="5" fillId="8" borderId="1" xfId="0" applyNumberFormat="1" applyFont="1" applyFill="1" applyBorder="1" applyAlignment="1">
      <alignment vertical="center"/>
    </xf>
    <xf numFmtId="3" fontId="5" fillId="5" borderId="1" xfId="0" applyNumberFormat="1" applyFont="1" applyFill="1" applyBorder="1" applyAlignment="1">
      <alignment vertical="center"/>
    </xf>
    <xf numFmtId="3" fontId="6" fillId="6" borderId="1" xfId="0" applyNumberFormat="1" applyFont="1" applyFill="1" applyBorder="1" applyAlignment="1">
      <alignment vertical="center"/>
    </xf>
    <xf numFmtId="3" fontId="5" fillId="0" borderId="1" xfId="0" applyNumberFormat="1" applyFont="1" applyBorder="1" applyAlignment="1">
      <alignment vertical="center"/>
    </xf>
    <xf numFmtId="165" fontId="5" fillId="7" borderId="1" xfId="0" applyNumberFormat="1" applyFont="1" applyFill="1" applyBorder="1" applyAlignment="1">
      <alignment vertical="center"/>
    </xf>
    <xf numFmtId="3" fontId="5" fillId="6" borderId="1" xfId="0" applyNumberFormat="1" applyFont="1" applyFill="1" applyBorder="1" applyAlignment="1">
      <alignment vertical="center"/>
    </xf>
    <xf numFmtId="0" fontId="5" fillId="6" borderId="1" xfId="0" applyFont="1" applyFill="1" applyBorder="1" applyAlignment="1">
      <alignment vertical="center"/>
    </xf>
    <xf numFmtId="0" fontId="0" fillId="0" borderId="1" xfId="0" applyBorder="1"/>
    <xf numFmtId="0" fontId="1" fillId="2" borderId="0" xfId="0" applyFont="1" applyFill="1" applyAlignment="1">
      <alignment horizontal="left" vertical="center" indent="1"/>
    </xf>
    <xf numFmtId="0" fontId="0" fillId="2" borderId="0" xfId="0" applyFill="1"/>
    <xf numFmtId="0" fontId="5" fillId="5" borderId="1" xfId="0" applyFont="1" applyFill="1" applyBorder="1" applyAlignment="1">
      <alignment horizontal="center" vertical="center"/>
    </xf>
    <xf numFmtId="0" fontId="0" fillId="0" borderId="0" xfId="0"/>
    <xf numFmtId="0" fontId="8" fillId="6" borderId="1" xfId="0" applyFont="1" applyFill="1" applyBorder="1" applyAlignment="1">
      <alignment horizontal="left" vertical="center"/>
    </xf>
    <xf numFmtId="0" fontId="3" fillId="3" borderId="0" xfId="0" applyFont="1" applyFill="1" applyAlignment="1">
      <alignment horizontal="left" vertical="center" indent="1"/>
    </xf>
    <xf numFmtId="0" fontId="0" fillId="3" borderId="0" xfId="0" applyFill="1"/>
    <xf numFmtId="0" fontId="2" fillId="3" borderId="0" xfId="0" applyFont="1" applyFill="1" applyAlignment="1">
      <alignment horizontal="left" vertical="center" indent="1"/>
    </xf>
    <xf numFmtId="0" fontId="7" fillId="4" borderId="1" xfId="0" applyFont="1" applyFill="1" applyBorder="1" applyAlignment="1">
      <alignment vertical="center" wrapText="1"/>
    </xf>
    <xf numFmtId="0" fontId="5" fillId="4" borderId="1" xfId="0" applyFont="1" applyFill="1" applyBorder="1" applyAlignment="1">
      <alignment vertical="center"/>
    </xf>
    <xf numFmtId="0" fontId="0" fillId="4" borderId="1" xfId="0" applyFill="1" applyBorder="1"/>
    <xf numFmtId="0" fontId="7" fillId="0" borderId="0" xfId="0" applyFont="1" applyAlignment="1">
      <alignment vertical="center" wrapText="1"/>
    </xf>
  </cellXfs>
  <cellStyles count="1">
    <cellStyle name="Normal" xfId="0" builtinId="0"/>
  </cellStyles>
  <dxfs count="16">
    <dxf>
      <font>
        <b/>
        <color rgb="FFB06000"/>
      </font>
      <fill>
        <patternFill patternType="solid">
          <fgColor rgb="FFFEF7E0"/>
        </patternFill>
      </fill>
    </dxf>
    <dxf>
      <font>
        <b/>
        <color rgb="FFC5221F"/>
      </font>
      <fill>
        <patternFill patternType="solid">
          <fgColor rgb="FFFCE8E6"/>
        </patternFill>
      </fill>
    </dxf>
    <dxf>
      <font>
        <b/>
        <color rgb="FFA61C00"/>
      </font>
      <fill>
        <patternFill patternType="solid">
          <fgColor rgb="FFFAD2CF"/>
        </patternFill>
      </fill>
    </dxf>
    <dxf>
      <font>
        <b/>
        <color rgb="FFB06000"/>
      </font>
      <fill>
        <patternFill patternType="solid">
          <fgColor rgb="FFFEF7E0"/>
        </patternFill>
      </fill>
    </dxf>
    <dxf>
      <font>
        <b/>
        <color rgb="FFC5221F"/>
      </font>
      <fill>
        <patternFill patternType="solid">
          <fgColor rgb="FFFCE8E6"/>
        </patternFill>
      </fill>
    </dxf>
    <dxf>
      <font>
        <color rgb="FF7F7F7F"/>
      </font>
    </dxf>
    <dxf>
      <font>
        <b/>
        <color rgb="FFC5221F"/>
      </font>
      <fill>
        <patternFill patternType="solid">
          <fgColor rgb="FFFCE8E6"/>
        </patternFill>
      </fill>
    </dxf>
    <dxf>
      <font>
        <b/>
        <color rgb="FFC5221F"/>
      </font>
      <fill>
        <patternFill patternType="solid">
          <fgColor rgb="FFFCE8E6"/>
        </patternFill>
      </fill>
    </dxf>
    <dxf>
      <font>
        <b/>
        <color rgb="FFB06000"/>
      </font>
      <fill>
        <patternFill patternType="solid">
          <fgColor rgb="FFFEF7E0"/>
        </patternFill>
      </fill>
    </dxf>
    <dxf>
      <font>
        <color rgb="FFB06000"/>
      </font>
      <fill>
        <patternFill patternType="solid">
          <fgColor rgb="FFFEF7E0"/>
        </patternFill>
      </fill>
    </dxf>
    <dxf>
      <font>
        <b/>
        <color rgb="FFC5221F"/>
      </font>
      <fill>
        <patternFill patternType="solid">
          <fgColor rgb="FFFCE8E6"/>
        </patternFill>
      </fill>
    </dxf>
    <dxf>
      <font>
        <b/>
        <color rgb="FF137333"/>
      </font>
      <fill>
        <patternFill patternType="solid">
          <fgColor rgb="FFE6F4EA"/>
        </patternFill>
      </fill>
    </dxf>
    <dxf>
      <font>
        <b/>
        <color rgb="FFB06000"/>
      </font>
      <fill>
        <patternFill patternType="solid">
          <fgColor rgb="FFFEF7E0"/>
        </patternFill>
      </fill>
    </dxf>
    <dxf>
      <font>
        <b/>
        <color rgb="FFC5221F"/>
      </font>
      <fill>
        <patternFill patternType="solid">
          <fgColor rgb="FFFCE8E6"/>
        </patternFill>
      </fill>
    </dxf>
    <dxf>
      <font>
        <b/>
        <color rgb="FFB06000"/>
      </font>
      <fill>
        <patternFill patternType="solid">
          <fgColor rgb="FFFEF7E0"/>
        </patternFill>
      </fill>
    </dxf>
    <dxf>
      <font>
        <b/>
        <color rgb="FFC5221F"/>
      </font>
      <fill>
        <patternFill patternType="solid">
          <fgColor rgb="FFFCE8E6"/>
        </patternFill>
      </fill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tbl_Catalog" displayName="tbl_Catalog" ref="A15:X175">
  <autoFilter ref="A15:X175" xr:uid="{00000000-0009-0000-0100-000001000000}"/>
  <tableColumns count="24">
    <tableColumn id="1" xr3:uid="{00000000-0010-0000-0000-000001000000}" name="sku_id"/>
    <tableColumn id="2" xr3:uid="{00000000-0010-0000-0000-000002000000}" name="parent_sku_id"/>
    <tableColumn id="3" xr3:uid="{00000000-0010-0000-0000-000003000000}" name="asin"/>
    <tableColumn id="4" xr3:uid="{00000000-0010-0000-0000-000004000000}" name="fnsku"/>
    <tableColumn id="5" xr3:uid="{00000000-0010-0000-0000-000005000000}" name="shopify_variant_id"/>
    <tableColumn id="6" xr3:uid="{00000000-0010-0000-0000-000006000000}" name="material"/>
    <tableColumn id="7" xr3:uid="{00000000-0010-0000-0000-000007000000}" name="size_width"/>
    <tableColumn id="8" xr3:uid="{00000000-0010-0000-0000-000008000000}" name="color"/>
    <tableColumn id="9" xr3:uid="{00000000-0010-0000-0000-000009000000}" name="hardware"/>
    <tableColumn id="10" xr3:uid="{00000000-0010-0000-0000-00000A000000}" name="abc_xyz_tier"/>
    <tableColumn id="11" xr3:uid="{00000000-0010-0000-0000-00000B000000}" name="z_score"/>
    <tableColumn id="12" xr3:uid="{00000000-0010-0000-0000-00000C000000}" name="master_carton_qty"/>
    <tableColumn id="13" xr3:uid="{00000000-0010-0000-0000-00000D000000}" name="carton_volume_cbm"/>
    <tableColumn id="14" xr3:uid="{00000000-0010-0000-0000-00000E000000}" name="carton_weight_kg"/>
    <tableColumn id="15" xr3:uid="{00000000-0010-0000-0000-00000F000000}" name="sku_moq_units"/>
    <tableColumn id="16" xr3:uid="{00000000-0010-0000-0000-000010000000}" name="po_aggregate_moq_units"/>
    <tableColumn id="17" xr3:uid="{00000000-0010-0000-0000-000011000000}" name="fob_unit_cost"/>
    <tableColumn id="18" xr3:uid="{00000000-0010-0000-0000-000012000000}" name="landed_cost"/>
    <tableColumn id="19" xr3:uid="{00000000-0010-0000-0000-000013000000}" name="retail_price"/>
    <tableColumn id="20" xr3:uid="{00000000-0010-0000-0000-000014000000}" name="parent_stationary_share"/>
    <tableColumn id="21" xr3:uid="{00000000-0010-0000-0000-000015000000}" name="unit_volume_cuft"/>
    <tableColumn id="22" xr3:uid="{00000000-0010-0000-0000-000016000000}" name="fba_channel_share"/>
    <tableColumn id="23" xr3:uid="{00000000-0010-0000-0000-000017000000}" name="fba_size_tier"/>
    <tableColumn id="24" xr3:uid="{00000000-0010-0000-0000-000018000000}" name="supplier_id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00000000-000C-0000-FFFF-FFFF01000000}" name="tbl_Demand_Unconstraining" displayName="tbl_Demand_Unconstraining" ref="A4:Y164">
  <autoFilter ref="A4:Y164" xr:uid="{00000000-0009-0000-0100-000002000000}"/>
  <tableColumns count="25">
    <tableColumn id="1" xr3:uid="{00000000-0010-0000-0100-000001000000}" name="sku_id"/>
    <tableColumn id="2" xr3:uid="{00000000-0010-0000-0100-000002000000}" name="parent_sku_id"/>
    <tableColumn id="3" xr3:uid="{00000000-0010-0000-0100-000003000000}" name="tier"/>
    <tableColumn id="4" xr3:uid="{00000000-0010-0000-0100-000004000000}" name="FBA share"/>
    <tableColumn id="5" xr3:uid="{00000000-0010-0000-0100-000005000000}" name="FBA sales 30d"/>
    <tableColumn id="6" xr3:uid="{00000000-0010-0000-0100-000006000000}" name="Active days 30d"/>
    <tableColumn id="7" xr3:uid="{00000000-0010-0000-0100-000007000000}" name="Naive 30d u/d"/>
    <tableColumn id="8" xr3:uid="{00000000-0010-0000-0100-000008000000}" name="Active-day u/d"/>
    <tableColumn id="9" xr3:uid="{00000000-0010-0000-0100-000009000000}" name="90d baseline u/d"/>
    <tableColumn id="10" xr3:uid="{00000000-0010-0000-0100-00000A000000}" name="Cross-sectional u/d"/>
    <tableColumn id="11" xr3:uid="{00000000-0010-0000-0100-00000B000000}" name="D_FBA unconstrained"/>
    <tableColumn id="12" xr3:uid="{00000000-0010-0000-0100-00000C000000}" name="σ_FBA"/>
    <tableColumn id="13" xr3:uid="{00000000-0010-0000-0100-00000D000000}" name="DTC sales 30d"/>
    <tableColumn id="14" xr3:uid="{00000000-0010-0000-0100-00000E000000}" name="DTC active days"/>
    <tableColumn id="15" xr3:uid="{00000000-0010-0000-0100-00000F000000}" name="DTC naive u/d"/>
    <tableColumn id="16" xr3:uid="{00000000-0010-0000-0100-000010000000}" name="DTC active u/d"/>
    <tableColumn id="17" xr3:uid="{00000000-0010-0000-0100-000011000000}" name="D_DTC unconstrained"/>
    <tableColumn id="18" xr3:uid="{00000000-0010-0000-0100-000012000000}" name="D_Global unconstrained"/>
    <tableColumn id="19" xr3:uid="{00000000-0010-0000-0100-000013000000}" name="σ_Global"/>
    <tableColumn id="20" xr3:uid="{00000000-0010-0000-0100-000014000000}" name="Stockout ratio"/>
    <tableColumn id="21" xr3:uid="{00000000-0010-0000-0100-000015000000}" name="Unconstraining uplift"/>
    <tableColumn id="22" xr3:uid="{00000000-0010-0000-0100-000016000000}" name="Exposure ratio"/>
    <tableColumn id="23" xr3:uid="{00000000-0010-0000-0100-000017000000}" name="Stockout days 30d"/>
    <tableColumn id="24" xr3:uid="{00000000-0010-0000-0100-000018000000}" name="Alert"/>
    <tableColumn id="25" xr3:uid="{00000000-0010-0000-0100-000019000000}" name="Fallback pool u/d"/>
  </tableColumns>
  <tableStyleInfo name="TableStyleMedium2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00000000-000C-0000-FFFF-FFFF02000000}" name="tbl_FBA_Transfers" displayName="tbl_FBA_Transfers" ref="A4:AB164">
  <autoFilter ref="A4:AB164" xr:uid="{00000000-0009-0000-0100-000003000000}"/>
  <tableColumns count="28">
    <tableColumn id="1" xr3:uid="{00000000-0010-0000-0200-000001000000}" name="sku_id"/>
    <tableColumn id="2" xr3:uid="{00000000-0010-0000-0200-000002000000}" name="parent_sku_id"/>
    <tableColumn id="3" xr3:uid="{00000000-0010-0000-0200-000003000000}" name="tier"/>
    <tableColumn id="4" xr3:uid="{00000000-0010-0000-0200-000004000000}" name="FBA available"/>
    <tableColumn id="5" xr3:uid="{00000000-0010-0000-0200-000005000000}" name="IP_FBA"/>
    <tableColumn id="6" xr3:uid="{00000000-0010-0000-0200-000006000000}" name="HDoS 30d"/>
    <tableColumn id="7" xr3:uid="{00000000-0010-0000-0200-000007000000}" name="HDoS 90d"/>
    <tableColumn id="8" xr3:uid="{00000000-0010-0000-0200-000008000000}" name="Effective HDoS"/>
    <tableColumn id="9" xr3:uid="{00000000-0010-0000-0200-000009000000}" name="Fee / unit"/>
    <tableColumn id="10" xr3:uid="{00000000-0010-0000-0200-00000A000000}" name="Fee exempt"/>
    <tableColumn id="11" xr3:uid="{00000000-0010-0000-0200-00000B000000}" name="D_FBA u/d"/>
    <tableColumn id="12" xr3:uid="{00000000-0010-0000-0200-00000C000000}" name="σ_FBA"/>
    <tableColumn id="13" xr3:uid="{00000000-0010-0000-0200-00000D000000}" name="SS1"/>
    <tableColumn id="14" xr3:uid="{00000000-0010-0000-0200-00000E000000}" name="B_FBA shield"/>
    <tableColumn id="15" xr3:uid="{00000000-0010-0000-0200-00000F000000}" name="ROP1"/>
    <tableColumn id="16" xr3:uid="{00000000-0010-0000-0200-000010000000}" name="S_max1"/>
    <tableColumn id="17" xr3:uid="{00000000-0010-0000-0200-000011000000}" name="3PL cartons avail"/>
    <tableColumn id="18" xr3:uid="{00000000-0010-0000-0200-000012000000}" name="Age-safe cartons"/>
    <tableColumn id="19" xr3:uid="{00000000-0010-0000-0200-000013000000}" name="Transfer units"/>
    <tableColumn id="20" xr3:uid="{00000000-0010-0000-0200-000014000000}" name="Transfer cartons"/>
    <tableColumn id="21" xr3:uid="{00000000-0010-0000-0200-000015000000}" name="FC transfer"/>
    <tableColumn id="22" xr3:uid="{00000000-0010-0000-0200-000016000000}" name="Inbound shipped"/>
    <tableColumn id="23" xr3:uid="{00000000-0010-0000-0200-000017000000}" name="Inbound receiving"/>
    <tableColumn id="24" xr3:uid="{00000000-0010-0000-0200-000018000000}" name="Transfer CBM"/>
    <tableColumn id="25" xr3:uid="{00000000-0010-0000-0200-000019000000}" name="Post-transfer DOS"/>
    <tableColumn id="26" xr3:uid="{00000000-0010-0000-0200-00001A000000}" name="Fee exposure"/>
    <tableColumn id="27" xr3:uid="{00000000-0010-0000-0200-00001B000000}" name="Alert"/>
    <tableColumn id="28" xr3:uid="{00000000-0010-0000-0200-00001C000000}" name="Carton check"/>
  </tableColumns>
  <tableStyleInfo name="TableStyleMedium4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00000000-000C-0000-FFFF-FFFF03000000}" name="tbl_Factory_PO" displayName="tbl_Factory_PO" ref="A4:AC164">
  <autoFilter ref="A4:AC164" xr:uid="{00000000-0009-0000-0100-000004000000}"/>
  <tableColumns count="29">
    <tableColumn id="1" xr3:uid="{00000000-0010-0000-0300-000001000000}" name="sku_id"/>
    <tableColumn id="2" xr3:uid="{00000000-0010-0000-0300-000002000000}" name="parent_sku_id"/>
    <tableColumn id="3" xr3:uid="{00000000-0010-0000-0300-000003000000}" name="tier"/>
    <tableColumn id="4" xr3:uid="{00000000-0010-0000-0300-000004000000}" name="3PL on hand"/>
    <tableColumn id="5" xr3:uid="{00000000-0010-0000-0300-000005000000}" name="Allocated DTC"/>
    <tableColumn id="6" xr3:uid="{00000000-0010-0000-0300-000006000000}" name="IP_System"/>
    <tableColumn id="7" xr3:uid="{00000000-0010-0000-0300-000007000000}" name="D_Global u/d"/>
    <tableColumn id="8" xr3:uid="{00000000-0010-0000-0300-000008000000}" name="σ_Global"/>
    <tableColumn id="9" xr3:uid="{00000000-0010-0000-0300-000009000000}" name="Z"/>
    <tableColumn id="10" xr3:uid="{00000000-0010-0000-0300-00000A000000}" name="SS2"/>
    <tableColumn id="11" xr3:uid="{00000000-0010-0000-0300-00000B000000}" name="B_FBA"/>
    <tableColumn id="12" xr3:uid="{00000000-0010-0000-0300-00000C000000}" name="ROP2 system"/>
    <tableColumn id="13" xr3:uid="{00000000-0010-0000-0300-00000D000000}" name="S_max2"/>
    <tableColumn id="14" xr3:uid="{00000000-0010-0000-0300-00000E000000}" name="MOQ cartons"/>
    <tableColumn id="15" xr3:uid="{00000000-0010-0000-0300-00000F000000}" name="Days to breach"/>
    <tableColumn id="16" xr3:uid="{00000000-0010-0000-0300-000010000000}" name="Executable PO units"/>
    <tableColumn id="17" xr3:uid="{00000000-0010-0000-0300-000011000000}" name="Policy line CBM"/>
    <tableColumn id="18" xr3:uid="{00000000-0010-0000-0300-000012000000}" name="Base units"/>
    <tableColumn id="19" xr3:uid="{00000000-0010-0000-0300-000013000000}" name="Top-up cartons"/>
    <tableColumn id="20" xr3:uid="{00000000-0010-0000-0300-000014000000}" name="Top-up units"/>
    <tableColumn id="21" xr3:uid="{00000000-0010-0000-0300-000015000000}" name="Total units"/>
    <tableColumn id="22" xr3:uid="{00000000-0010-0000-0300-000016000000}" name="Total cartons"/>
    <tableColumn id="23" xr3:uid="{00000000-0010-0000-0300-000017000000}" name="Total CBM"/>
    <tableColumn id="24" xr3:uid="{00000000-0010-0000-0300-000018000000}" name="Status"/>
    <tableColumn id="25" xr3:uid="{00000000-0010-0000-0300-000019000000}" name="MOQ check"/>
    <tableColumn id="26" xr3:uid="{00000000-0010-0000-0300-00001A000000}" name="DOS check"/>
    <tableColumn id="27" xr3:uid="{00000000-0010-0000-0300-00001B000000}" name="Open PO units"/>
    <tableColumn id="28" xr3:uid="{00000000-0010-0000-0300-00001C000000}" name="Deferred cartons"/>
    <tableColumn id="29" xr3:uid="{00000000-0010-0000-0300-00001D000000}" name="Pulled forward"/>
  </tableColumns>
  <tableStyleInfo name="TableStyleMedium6" showFirstColumn="0" showLastColumn="0" showRowStripes="1" showColumnStripes="0"/>
</table>
</file>

<file path=xl/tables/table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xr:uid="{00000000-000C-0000-FFFF-FFFF04000000}" name="tbl_Fee_Audit" displayName="tbl_Fee_Audit" ref="A4:X164">
  <autoFilter ref="A4:X164" xr:uid="{00000000-0009-0000-0100-000005000000}"/>
  <tableColumns count="24">
    <tableColumn id="1" xr3:uid="{00000000-0010-0000-0400-000001000000}" name="sku_id"/>
    <tableColumn id="2" xr3:uid="{00000000-0010-0000-0400-000002000000}" name="parent_sku_id"/>
    <tableColumn id="3" xr3:uid="{00000000-0010-0000-0400-000003000000}" name="tier"/>
    <tableColumn id="4" xr3:uid="{00000000-0010-0000-0400-000004000000}" name="Unit ft³"/>
    <tableColumn id="5" xr3:uid="{00000000-0010-0000-0400-000005000000}" name="0-90d"/>
    <tableColumn id="6" xr3:uid="{00000000-0010-0000-0400-000006000000}" name="91-180d"/>
    <tableColumn id="7" xr3:uid="{00000000-0010-0000-0400-000007000000}" name="181-270d"/>
    <tableColumn id="8" xr3:uid="{00000000-0010-0000-0400-000008000000}" name="271-365d"/>
    <tableColumn id="9" xr3:uid="{00000000-0010-0000-0400-000009000000}" name="366d+"/>
    <tableColumn id="10" xr3:uid="{00000000-0010-0000-0400-00000A000000}" name="Effective HDoS"/>
    <tableColumn id="11" xr3:uid="{00000000-0010-0000-0400-00000B000000}" name="Fee / unit"/>
    <tableColumn id="12" xr3:uid="{00000000-0010-0000-0400-00000C000000}" name="AIS 181-270"/>
    <tableColumn id="13" xr3:uid="{00000000-0010-0000-0400-00000D000000}" name="AIS 271-365"/>
    <tableColumn id="14" xr3:uid="{00000000-0010-0000-0400-00000E000000}" name="AIS 366+"/>
    <tableColumn id="15" xr3:uid="{00000000-0010-0000-0400-00000F000000}" name="Monthly AIS"/>
    <tableColumn id="16" xr3:uid="{00000000-0010-0000-0400-000010000000}" name="Removal units"/>
    <tableColumn id="17" xr3:uid="{00000000-0010-0000-0400-000011000000}" name="Removal cost"/>
    <tableColumn id="18" xr3:uid="{00000000-0010-0000-0400-000012000000}" name="Payback months"/>
    <tableColumn id="19" xr3:uid="{00000000-0010-0000-0400-000013000000}" name="Recommendation"/>
    <tableColumn id="20" xr3:uid="{00000000-0010-0000-0400-000014000000}" name="Annualised AIS"/>
    <tableColumn id="21" xr3:uid="{00000000-0010-0000-0400-000015000000}" name="Net annual saving"/>
    <tableColumn id="22" xr3:uid="{00000000-0010-0000-0400-000016000000}" name="Action window"/>
    <tableColumn id="23" xr3:uid="{00000000-0010-0000-0400-000017000000}" name="Units &gt;180d"/>
    <tableColumn id="24" xr3:uid="{00000000-0010-0000-0400-000018000000}" name="Note"/>
  </tableColumns>
  <tableStyleInfo name="TableStyleMedium3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table" Target="../tables/table4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table" Target="../tables/table5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rgb="FF1F3864"/>
    <pageSetUpPr fitToPage="1"/>
  </sheetPr>
  <dimension ref="A1:J44"/>
  <sheetViews>
    <sheetView showGridLines="0" workbookViewId="0">
      <pane ySplit="5" topLeftCell="A38" activePane="bottomLeft" state="frozen"/>
      <selection pane="bottomLeft" sqref="A1:J1"/>
    </sheetView>
  </sheetViews>
  <sheetFormatPr baseColWidth="10" defaultColWidth="8.88671875" defaultRowHeight="14.4" x14ac:dyDescent="0.3"/>
  <cols>
    <col min="1" max="1" width="34" customWidth="1"/>
    <col min="2" max="2" width="18" customWidth="1"/>
    <col min="3" max="3" width="10" customWidth="1"/>
    <col min="4" max="5" width="30" customWidth="1"/>
    <col min="6" max="6" width="46" customWidth="1"/>
    <col min="7" max="10" width="12" customWidth="1"/>
  </cols>
  <sheetData>
    <row r="1" spans="1:10" ht="28.05" customHeight="1" x14ac:dyDescent="0.3">
      <c r="A1" s="51" t="s">
        <v>0</v>
      </c>
      <c r="B1" s="52"/>
      <c r="C1" s="52"/>
      <c r="D1" s="52"/>
      <c r="E1" s="52"/>
      <c r="F1" s="52"/>
      <c r="G1" s="52"/>
      <c r="H1" s="52"/>
      <c r="I1" s="52"/>
      <c r="J1" s="52"/>
    </row>
    <row r="2" spans="1:10" ht="19.95" customHeight="1" x14ac:dyDescent="0.3">
      <c r="A2" s="58" t="s">
        <v>1</v>
      </c>
      <c r="B2" s="57"/>
      <c r="C2" s="57"/>
      <c r="D2" s="57"/>
      <c r="E2" s="57"/>
      <c r="F2" s="57"/>
      <c r="G2" s="57"/>
      <c r="H2" s="57"/>
      <c r="I2" s="57"/>
      <c r="J2" s="57"/>
    </row>
    <row r="4" spans="1:10" ht="22.05" customHeight="1" x14ac:dyDescent="0.3">
      <c r="A4" s="56" t="s">
        <v>2</v>
      </c>
      <c r="B4" s="57"/>
      <c r="C4" s="57"/>
      <c r="D4" s="57"/>
      <c r="E4" s="57"/>
      <c r="F4" s="57"/>
      <c r="G4" s="57"/>
      <c r="H4" s="57"/>
      <c r="I4" s="57"/>
      <c r="J4" s="57"/>
    </row>
    <row r="5" spans="1:10" ht="25.95" customHeight="1" x14ac:dyDescent="0.3">
      <c r="A5" s="1" t="s">
        <v>3</v>
      </c>
      <c r="B5" s="1" t="s">
        <v>4</v>
      </c>
      <c r="C5" s="1" t="s">
        <v>5</v>
      </c>
      <c r="D5" s="1" t="s">
        <v>6</v>
      </c>
      <c r="E5" s="1" t="s">
        <v>7</v>
      </c>
      <c r="F5" s="1" t="s">
        <v>8</v>
      </c>
    </row>
    <row r="6" spans="1:10" x14ac:dyDescent="0.3">
      <c r="A6" s="2" t="s">
        <v>9</v>
      </c>
      <c r="B6" s="3">
        <f>COUNTA(tbl_Catalog[sku_id])</f>
        <v>160</v>
      </c>
      <c r="C6" s="4" t="s">
        <v>10</v>
      </c>
      <c r="D6" s="5" t="s">
        <v>11</v>
      </c>
      <c r="E6" s="5" t="s">
        <v>12</v>
      </c>
      <c r="F6" s="6" t="str">
        <f>IF(B6=160,"OK","REVIEW")</f>
        <v>OK</v>
      </c>
    </row>
    <row r="7" spans="1:10" x14ac:dyDescent="0.3">
      <c r="A7" s="2" t="s">
        <v>13</v>
      </c>
      <c r="B7" s="3">
        <f>SUM('03_FBA_Nivel1_Transfer'!$D$5:$D$164)</f>
        <v>19980</v>
      </c>
      <c r="C7" s="4" t="s">
        <v>14</v>
      </c>
      <c r="D7" s="5" t="s">
        <v>15</v>
      </c>
      <c r="E7" s="5" t="s">
        <v>16</v>
      </c>
      <c r="F7" s="6" t="str">
        <f>IF(B7&gt;0,"OK","REVIEW")</f>
        <v>OK</v>
      </c>
    </row>
    <row r="8" spans="1:10" x14ac:dyDescent="0.3">
      <c r="A8" s="2" t="s">
        <v>17</v>
      </c>
      <c r="B8" s="3">
        <f>SUM('04_Factory_Nivel2_PO_&amp;_CBM'!$D$5:$D$164)</f>
        <v>35827</v>
      </c>
      <c r="C8" s="4" t="s">
        <v>14</v>
      </c>
      <c r="D8" s="5" t="s">
        <v>18</v>
      </c>
      <c r="E8" s="5" t="s">
        <v>19</v>
      </c>
      <c r="F8" s="6" t="str">
        <f>IF(B8&gt;0,"OK","REVIEW")</f>
        <v>OK</v>
      </c>
    </row>
    <row r="9" spans="1:10" x14ac:dyDescent="0.3">
      <c r="A9" s="2" t="s">
        <v>20</v>
      </c>
      <c r="B9" s="3">
        <f>SUM('04_Factory_Nivel2_PO_&amp;_CBM'!$AA$5:$AA$164)</f>
        <v>50500</v>
      </c>
      <c r="C9" s="4" t="s">
        <v>14</v>
      </c>
      <c r="D9" s="5" t="s">
        <v>21</v>
      </c>
      <c r="E9" s="5" t="s">
        <v>22</v>
      </c>
      <c r="F9" s="6" t="str">
        <f>IF(B9&gt;0,"OK","REVIEW")</f>
        <v>OK</v>
      </c>
    </row>
    <row r="10" spans="1:10" x14ac:dyDescent="0.3">
      <c r="A10" s="2" t="s">
        <v>23</v>
      </c>
      <c r="B10" s="7">
        <f>SUMPRODUCT(tbl_Catalog[landed_cost],('03_FBA_Nivel1_Transfer'!D5:D164+'04_Factory_Nivel2_PO_&amp;_CBM'!D5:D164+'04_Factory_Nivel2_PO_&amp;_CBM'!AA5:AA164))</f>
        <v>652675.1</v>
      </c>
      <c r="C10" s="4" t="s">
        <v>24</v>
      </c>
      <c r="D10" s="5" t="s">
        <v>25</v>
      </c>
      <c r="E10" s="5" t="s">
        <v>26</v>
      </c>
      <c r="F10" s="6" t="str">
        <f>IF(B10&gt;0,"OK","REVIEW")</f>
        <v>OK</v>
      </c>
    </row>
    <row r="11" spans="1:10" x14ac:dyDescent="0.3">
      <c r="A11" s="2" t="s">
        <v>27</v>
      </c>
      <c r="B11" s="8">
        <f>COUNTIF('03_FBA_Nivel1_Transfer'!$F$5:$F$164,"&lt;14")</f>
        <v>53</v>
      </c>
      <c r="C11" s="4" t="s">
        <v>10</v>
      </c>
      <c r="D11" s="5" t="s">
        <v>28</v>
      </c>
      <c r="E11" s="5" t="s">
        <v>29</v>
      </c>
      <c r="F11" s="6" t="str">
        <f>IF(B11=0,"OK","CRITICAL")</f>
        <v>CRITICAL</v>
      </c>
    </row>
    <row r="12" spans="1:10" x14ac:dyDescent="0.3">
      <c r="A12" s="2" t="s">
        <v>30</v>
      </c>
      <c r="B12" s="8">
        <f>COUNTIFS('03_FBA_Nivel1_Transfer'!$F$5:$F$164,"&gt;=14",'03_FBA_Nivel1_Transfer'!$G$5:$G$164,"&lt;28",'03_FBA_Nivel1_Transfer'!$F$5:$F$164,"&lt;28",'03_FBA_Nivel1_Transfer'!$J$5:$J$164,FALSE)</f>
        <v>8</v>
      </c>
      <c r="C12" s="4" t="s">
        <v>10</v>
      </c>
      <c r="D12" s="5" t="s">
        <v>31</v>
      </c>
      <c r="E12" s="5" t="s">
        <v>32</v>
      </c>
      <c r="F12" s="6" t="str">
        <f>IF(B12=0,"OK","ACTION")</f>
        <v>ACTION</v>
      </c>
    </row>
    <row r="13" spans="1:10" x14ac:dyDescent="0.3">
      <c r="A13" s="2" t="s">
        <v>33</v>
      </c>
      <c r="B13" s="9">
        <f>SUM('03_FBA_Nivel1_Transfer'!$Z$5:$Z$164)</f>
        <v>3442</v>
      </c>
      <c r="C13" s="4" t="s">
        <v>24</v>
      </c>
      <c r="D13" s="5" t="s">
        <v>34</v>
      </c>
      <c r="E13" s="5" t="s">
        <v>35</v>
      </c>
      <c r="F13" s="6" t="str">
        <f>IF(B13=0,"OK","ACTION")</f>
        <v>ACTION</v>
      </c>
    </row>
    <row r="14" spans="1:10" x14ac:dyDescent="0.3">
      <c r="A14" s="2" t="s">
        <v>36</v>
      </c>
      <c r="B14" s="8">
        <f>SUM('03_FBA_Nivel1_Transfer'!$T$5:$T$164)</f>
        <v>147</v>
      </c>
      <c r="C14" s="4" t="s">
        <v>37</v>
      </c>
      <c r="D14" s="5" t="s">
        <v>38</v>
      </c>
      <c r="E14" s="5" t="s">
        <v>39</v>
      </c>
      <c r="F14" s="6" t="str">
        <f>IF(B14&gt;0,"READY","REVIEW")</f>
        <v>READY</v>
      </c>
    </row>
    <row r="15" spans="1:10" x14ac:dyDescent="0.3">
      <c r="A15" s="2" t="s">
        <v>40</v>
      </c>
      <c r="B15" s="8">
        <f>SUM('03_FBA_Nivel1_Transfer'!$S$5:$S$164)</f>
        <v>11450</v>
      </c>
      <c r="C15" s="4" t="s">
        <v>14</v>
      </c>
      <c r="D15" s="5" t="s">
        <v>41</v>
      </c>
      <c r="E15" s="5" t="s">
        <v>42</v>
      </c>
      <c r="F15" s="6" t="str">
        <f>IF(B15&gt;0,"READY","REVIEW")</f>
        <v>READY</v>
      </c>
    </row>
    <row r="16" spans="1:10" x14ac:dyDescent="0.3">
      <c r="A16" s="2" t="s">
        <v>43</v>
      </c>
      <c r="B16" s="8">
        <f>SUM('04_Factory_Nivel2_PO_&amp;_CBM'!$U$5:$U$164)</f>
        <v>41850</v>
      </c>
      <c r="C16" s="4" t="s">
        <v>14</v>
      </c>
      <c r="D16" s="5" t="s">
        <v>44</v>
      </c>
      <c r="E16" s="5" t="s">
        <v>45</v>
      </c>
      <c r="F16" s="6" t="str">
        <f>IF(B16&gt;=Aggregate_MOQ,"MET","GAP")</f>
        <v>MET</v>
      </c>
    </row>
    <row r="17" spans="1:10" x14ac:dyDescent="0.3">
      <c r="A17" s="2" t="s">
        <v>46</v>
      </c>
      <c r="B17" s="8">
        <f>SUM('04_Factory_Nivel2_PO_&amp;_CBM'!$V$5:$V$164)</f>
        <v>492</v>
      </c>
      <c r="C17" s="4" t="s">
        <v>37</v>
      </c>
      <c r="D17" s="5" t="s">
        <v>47</v>
      </c>
      <c r="E17" s="5" t="s">
        <v>48</v>
      </c>
      <c r="F17" s="6" t="str">
        <f>IF(B17&gt;0,"READY","REVIEW")</f>
        <v>READY</v>
      </c>
    </row>
    <row r="18" spans="1:10" x14ac:dyDescent="0.3">
      <c r="A18" s="2" t="s">
        <v>49</v>
      </c>
      <c r="B18" s="10">
        <f>SUM('04_Factory_Nivel2_PO_&amp;_CBM'!$W$5:$W$164)</f>
        <v>28.77</v>
      </c>
      <c r="C18" s="4" t="s">
        <v>50</v>
      </c>
      <c r="D18" s="5" t="s">
        <v>51</v>
      </c>
      <c r="E18" s="5" t="s">
        <v>52</v>
      </c>
      <c r="F18" s="6" t="str">
        <f>IF(B18&gt;=LCL_Breakeven,"FCL","LCL")</f>
        <v>FCL</v>
      </c>
    </row>
    <row r="19" spans="1:10" x14ac:dyDescent="0.3">
      <c r="A19" s="2" t="s">
        <v>53</v>
      </c>
      <c r="B19" s="11">
        <f>IF(CBM_20GP&gt;0,B18/CBM_20GP,0)</f>
        <v>0.99895833333333328</v>
      </c>
      <c r="C19" s="4" t="s">
        <v>54</v>
      </c>
      <c r="D19" s="5" t="s">
        <v>55</v>
      </c>
      <c r="E19" s="5" t="s">
        <v>56</v>
      </c>
      <c r="F19" s="6" t="str">
        <f>IF(B19&gt;=0.95,"OPTIMAL","DEAD ZONE")</f>
        <v>OPTIMAL</v>
      </c>
    </row>
    <row r="20" spans="1:10" x14ac:dyDescent="0.3">
      <c r="A20" s="2" t="s">
        <v>57</v>
      </c>
      <c r="B20" s="12" t="str">
        <f>IF(B16&gt;=Aggregate_MOQ,"MET","GAP: "&amp;TEXT(Aggregate_MOQ-B16,"#,##0")&amp;" u")</f>
        <v>MET</v>
      </c>
      <c r="C20" s="4" t="s">
        <v>58</v>
      </c>
      <c r="D20" s="5" t="s">
        <v>44</v>
      </c>
      <c r="E20" s="5" t="s">
        <v>59</v>
      </c>
      <c r="F20" s="6" t="str">
        <f>IF(B16&gt;=Aggregate_MOQ,"MET","GAP")</f>
        <v>MET</v>
      </c>
    </row>
    <row r="21" spans="1:10" x14ac:dyDescent="0.3">
      <c r="A21" s="2" t="s">
        <v>60</v>
      </c>
      <c r="B21" s="9">
        <f>SUM('05_Fee_Risk_Audit'!$O$5:$O$164)</f>
        <v>38.629976000000013</v>
      </c>
      <c r="C21" s="4" t="s">
        <v>24</v>
      </c>
      <c r="D21" s="5" t="s">
        <v>61</v>
      </c>
      <c r="E21" s="5" t="s">
        <v>62</v>
      </c>
      <c r="F21" s="6" t="str">
        <f>IF(B21&gt;0,"MONITOR","OK")</f>
        <v>MONITOR</v>
      </c>
    </row>
    <row r="22" spans="1:10" x14ac:dyDescent="0.3">
      <c r="A22" s="2" t="s">
        <v>63</v>
      </c>
      <c r="B22" s="8">
        <f>COUNTIF('05_Fee_Risk_Audit'!$S$5:$S$164,"EXECUTE REMOVAL")</f>
        <v>2</v>
      </c>
      <c r="C22" s="4" t="s">
        <v>10</v>
      </c>
      <c r="D22" s="5" t="s">
        <v>64</v>
      </c>
      <c r="E22" s="5" t="s">
        <v>65</v>
      </c>
      <c r="F22" s="6" t="str">
        <f>IF(B22&gt;0,"ACTION","OK")</f>
        <v>ACTION</v>
      </c>
    </row>
    <row r="23" spans="1:10" x14ac:dyDescent="0.3">
      <c r="A23" s="2" t="s">
        <v>66</v>
      </c>
      <c r="B23" s="13">
        <f>SUM('05_Fee_Risk_Audit'!$T$5:$T$164)</f>
        <v>463.55971199999982</v>
      </c>
      <c r="C23" s="4" t="s">
        <v>24</v>
      </c>
      <c r="D23" s="5" t="s">
        <v>67</v>
      </c>
      <c r="E23" s="5" t="s">
        <v>68</v>
      </c>
      <c r="F23" s="6" t="str">
        <f>IF(B23&gt;0,"MONITOR","OK")</f>
        <v>MONITOR</v>
      </c>
    </row>
    <row r="24" spans="1:10" x14ac:dyDescent="0.3">
      <c r="A24" s="2" t="s">
        <v>69</v>
      </c>
      <c r="B24" s="9">
        <f>B13+B21</f>
        <v>3480.6299760000002</v>
      </c>
      <c r="C24" s="4" t="s">
        <v>24</v>
      </c>
      <c r="D24" s="5" t="s">
        <v>70</v>
      </c>
      <c r="E24" s="5" t="s">
        <v>71</v>
      </c>
      <c r="F24" s="6" t="str">
        <f>IF(B24&gt;0,"MONITOR","OK")</f>
        <v>MONITOR</v>
      </c>
    </row>
    <row r="26" spans="1:10" ht="22.05" customHeight="1" x14ac:dyDescent="0.3">
      <c r="A26" s="56" t="s">
        <v>72</v>
      </c>
      <c r="B26" s="57"/>
      <c r="C26" s="57"/>
      <c r="D26" s="57"/>
      <c r="E26" s="57"/>
      <c r="F26" s="57"/>
      <c r="G26" s="57"/>
      <c r="H26" s="57"/>
      <c r="I26" s="57"/>
      <c r="J26" s="57"/>
    </row>
    <row r="27" spans="1:10" ht="24" customHeight="1" x14ac:dyDescent="0.3">
      <c r="A27" s="14" t="s">
        <v>73</v>
      </c>
      <c r="B27" s="14" t="s">
        <v>74</v>
      </c>
      <c r="C27" s="14" t="s">
        <v>75</v>
      </c>
      <c r="D27" s="14" t="s">
        <v>76</v>
      </c>
      <c r="E27" s="14" t="s">
        <v>77</v>
      </c>
      <c r="F27" s="14" t="s">
        <v>78</v>
      </c>
    </row>
    <row r="28" spans="1:10" ht="30" customHeight="1" x14ac:dyDescent="0.3">
      <c r="A28" s="15" t="s">
        <v>79</v>
      </c>
      <c r="B28" s="4" t="s">
        <v>80</v>
      </c>
      <c r="C28" s="16" t="s">
        <v>81</v>
      </c>
      <c r="D28" s="17">
        <f>B11</f>
        <v>53</v>
      </c>
      <c r="E28" s="16" t="s">
        <v>82</v>
      </c>
      <c r="F28" s="18" t="s">
        <v>83</v>
      </c>
    </row>
    <row r="29" spans="1:10" ht="30" customHeight="1" x14ac:dyDescent="0.3">
      <c r="A29" s="19" t="s">
        <v>84</v>
      </c>
      <c r="B29" s="4" t="s">
        <v>85</v>
      </c>
      <c r="C29" s="16" t="s">
        <v>86</v>
      </c>
      <c r="D29" s="17">
        <f>B12</f>
        <v>8</v>
      </c>
      <c r="E29" s="16" t="s">
        <v>87</v>
      </c>
      <c r="F29" s="18" t="s">
        <v>88</v>
      </c>
    </row>
    <row r="30" spans="1:10" ht="30" customHeight="1" x14ac:dyDescent="0.3">
      <c r="A30" s="19" t="s">
        <v>84</v>
      </c>
      <c r="B30" s="4" t="s">
        <v>89</v>
      </c>
      <c r="C30" s="16" t="s">
        <v>90</v>
      </c>
      <c r="D30" s="17">
        <f>SUM('05_Fee_Risk_Audit'!$W$5:$W$164)</f>
        <v>2008</v>
      </c>
      <c r="E30" s="16" t="s">
        <v>91</v>
      </c>
      <c r="F30" s="18" t="s">
        <v>92</v>
      </c>
    </row>
    <row r="31" spans="1:10" ht="30" customHeight="1" x14ac:dyDescent="0.3">
      <c r="A31" s="20" t="s">
        <v>93</v>
      </c>
      <c r="B31" s="4" t="s">
        <v>94</v>
      </c>
      <c r="C31" s="16" t="s">
        <v>95</v>
      </c>
      <c r="D31" s="17">
        <f>SUM('04_Factory_Nivel2_PO_&amp;_CBM'!$AB$5:$AB$164)</f>
        <v>1236</v>
      </c>
      <c r="E31" s="16" t="s">
        <v>96</v>
      </c>
      <c r="F31" s="18" t="s">
        <v>97</v>
      </c>
    </row>
    <row r="32" spans="1:10" ht="30" customHeight="1" x14ac:dyDescent="0.3">
      <c r="A32" s="20" t="s">
        <v>93</v>
      </c>
      <c r="B32" s="4" t="s">
        <v>98</v>
      </c>
      <c r="C32" s="16" t="s">
        <v>99</v>
      </c>
      <c r="D32" s="17">
        <f>COUNTIF('04_Factory_Nivel2_PO_&amp;_CBM'!$Z$5:$Z$164,"MOQ OVERRIDE")</f>
        <v>0</v>
      </c>
      <c r="E32" s="16" t="s">
        <v>100</v>
      </c>
      <c r="F32" s="18" t="s">
        <v>101</v>
      </c>
    </row>
    <row r="33" spans="1:10" ht="30" customHeight="1" x14ac:dyDescent="0.3">
      <c r="A33" s="21" t="s">
        <v>102</v>
      </c>
      <c r="B33" s="4" t="s">
        <v>103</v>
      </c>
      <c r="C33" s="16" t="s">
        <v>104</v>
      </c>
      <c r="D33" s="17">
        <f>COUNTIF('02_Demand_Unconstraining'!$U$5:$U$164,"&gt;0")</f>
        <v>63</v>
      </c>
      <c r="E33" s="16" t="s">
        <v>105</v>
      </c>
      <c r="F33" s="18" t="s">
        <v>106</v>
      </c>
    </row>
    <row r="35" spans="1:10" ht="22.05" customHeight="1" x14ac:dyDescent="0.3">
      <c r="A35" s="56" t="s">
        <v>107</v>
      </c>
      <c r="B35" s="57"/>
      <c r="C35" s="57"/>
      <c r="D35" s="57"/>
      <c r="E35" s="57"/>
      <c r="F35" s="57"/>
      <c r="G35" s="57"/>
      <c r="H35" s="57"/>
      <c r="I35" s="57"/>
      <c r="J35" s="57"/>
    </row>
    <row r="36" spans="1:10" ht="28.05" customHeight="1" x14ac:dyDescent="0.3">
      <c r="A36" s="55" t="str">
        <f>"["&amp;REPT("█",ROUND(B19*20,0))&amp;REPT("·",20-ROUND(B19*20,0))&amp;"]  "&amp;TEXT(B19,"0.0%")&amp;"  ·  "&amp;TEXT(B18,"0.000")&amp;" / "&amp;TEXT(CBM_20GP,"0.0")&amp;" CBM"</f>
        <v>[████████████████████]  100%  ·  0.029 / 29 CBM</v>
      </c>
      <c r="B36" s="54"/>
      <c r="C36" s="54"/>
      <c r="D36" s="54"/>
      <c r="E36" s="54"/>
      <c r="F36" s="54"/>
      <c r="G36" s="54"/>
      <c r="H36" s="54"/>
      <c r="I36" s="54"/>
      <c r="J36" s="54"/>
    </row>
    <row r="37" spans="1:10" x14ac:dyDescent="0.3">
      <c r="A37" s="53" t="str">
        <f>IF(AND(B18&gt;=LCL_Breakeven,MOD(B18,CBM_20GP)&lt;24),"DEAD ZONE → EXECUTE TIER-A KNAPSACK TOP-UP","OPTIMAL FILL → BOOK 20' GP FCL AND TRANSMIT PO")</f>
        <v>OPTIMAL FILL → BOOK 20' GP FCL AND TRANSMIT PO</v>
      </c>
      <c r="B37" s="54"/>
      <c r="C37" s="54"/>
      <c r="D37" s="54"/>
      <c r="E37" s="54"/>
      <c r="F37" s="54"/>
      <c r="G37" s="54"/>
      <c r="H37" s="54"/>
      <c r="I37" s="54"/>
      <c r="J37" s="54"/>
    </row>
    <row r="39" spans="1:10" ht="22.05" customHeight="1" x14ac:dyDescent="0.3">
      <c r="A39" s="56" t="s">
        <v>108</v>
      </c>
      <c r="B39" s="57"/>
      <c r="C39" s="57"/>
      <c r="D39" s="57"/>
      <c r="E39" s="57"/>
      <c r="F39" s="57"/>
      <c r="G39" s="57"/>
      <c r="H39" s="57"/>
      <c r="I39" s="57"/>
      <c r="J39" s="57"/>
    </row>
    <row r="40" spans="1:10" x14ac:dyDescent="0.3">
      <c r="A40" s="2" t="s">
        <v>109</v>
      </c>
      <c r="B40" s="49" t="s">
        <v>110</v>
      </c>
      <c r="C40" s="50"/>
      <c r="D40" s="50"/>
      <c r="F40" s="59" t="s">
        <v>111</v>
      </c>
      <c r="G40" s="50"/>
      <c r="H40" s="50"/>
      <c r="I40" s="50"/>
      <c r="J40" s="50"/>
    </row>
    <row r="41" spans="1:10" x14ac:dyDescent="0.3">
      <c r="A41" s="2" t="s">
        <v>112</v>
      </c>
      <c r="B41" s="49" t="str">
        <f>Snapshot_Date</f>
        <v>2026-10-25</v>
      </c>
      <c r="C41" s="50"/>
      <c r="D41" s="50"/>
      <c r="F41" s="50"/>
      <c r="G41" s="50"/>
      <c r="H41" s="50"/>
      <c r="I41" s="50"/>
      <c r="J41" s="50"/>
    </row>
    <row r="42" spans="1:10" x14ac:dyDescent="0.3">
      <c r="A42" s="2" t="s">
        <v>113</v>
      </c>
      <c r="B42" s="49" t="str">
        <f>IF(AND(B11&lt;=5,B12&lt;=5),"APPROVE WEEKLY PLAN","CONDITIONAL APPROVAL - REVIEW EXCEPTIONS")</f>
        <v>CONDITIONAL APPROVAL - REVIEW EXCEPTIONS</v>
      </c>
      <c r="C42" s="50"/>
      <c r="D42" s="50"/>
      <c r="F42" s="50"/>
      <c r="G42" s="50"/>
      <c r="H42" s="50"/>
      <c r="I42" s="50"/>
      <c r="J42" s="50"/>
    </row>
    <row r="43" spans="1:10" x14ac:dyDescent="0.3">
      <c r="A43" s="2" t="s">
        <v>114</v>
      </c>
      <c r="B43" s="49"/>
      <c r="C43" s="50"/>
      <c r="D43" s="50"/>
      <c r="F43" s="50"/>
      <c r="G43" s="50"/>
      <c r="H43" s="50"/>
      <c r="I43" s="50"/>
      <c r="J43" s="50"/>
    </row>
    <row r="44" spans="1:10" x14ac:dyDescent="0.3">
      <c r="A44" s="2" t="s">
        <v>115</v>
      </c>
      <c r="B44" s="49"/>
      <c r="C44" s="50"/>
      <c r="D44" s="50"/>
      <c r="F44" s="50"/>
      <c r="G44" s="50"/>
      <c r="H44" s="50"/>
      <c r="I44" s="50"/>
      <c r="J44" s="50"/>
    </row>
  </sheetData>
  <mergeCells count="14">
    <mergeCell ref="B44:D44"/>
    <mergeCell ref="A2:J2"/>
    <mergeCell ref="F40:J44"/>
    <mergeCell ref="B42:D42"/>
    <mergeCell ref="A1:J1"/>
    <mergeCell ref="A37:J37"/>
    <mergeCell ref="A36:J36"/>
    <mergeCell ref="B43:D43"/>
    <mergeCell ref="B41:D41"/>
    <mergeCell ref="A39:J39"/>
    <mergeCell ref="B40:D40"/>
    <mergeCell ref="A35:J35"/>
    <mergeCell ref="A4:J4"/>
    <mergeCell ref="A26:J26"/>
  </mergeCells>
  <conditionalFormatting sqref="B11">
    <cfRule type="cellIs" dxfId="15" priority="1" operator="greaterThan">
      <formula>0</formula>
    </cfRule>
  </conditionalFormatting>
  <conditionalFormatting sqref="B12:B13">
    <cfRule type="cellIs" dxfId="14" priority="2" operator="greaterThan">
      <formula>0</formula>
    </cfRule>
  </conditionalFormatting>
  <conditionalFormatting sqref="B19">
    <cfRule type="dataBar" priority="3">
      <dataBar>
        <cfvo type="num" val="0"/>
        <cfvo type="num" val="1"/>
        <color rgb="FF70AD47"/>
      </dataBar>
    </cfRule>
  </conditionalFormatting>
  <conditionalFormatting sqref="F6:F24">
    <cfRule type="expression" dxfId="13" priority="4">
      <formula>OR($F6="CRITICAL",$F6="ACTION",$F6="DEAD ZONE")</formula>
    </cfRule>
    <cfRule type="expression" dxfId="12" priority="5">
      <formula>OR($F6="MONITOR",$F6="REVIEW",$F6="GAP")</formula>
    </cfRule>
    <cfRule type="expression" dxfId="11" priority="6">
      <formula>OR($F6="OK",$F6="MET",$F6="READY",$F6="OPTIMAL",$F6="FCL")</formula>
    </cfRule>
  </conditionalFormatting>
  <dataValidations count="1">
    <dataValidation type="list" allowBlank="1" sqref="B42" xr:uid="{00000000-0002-0000-0000-000000000000}">
      <formula1>"APPROVE WEEKLY PLAN,CONDITIONAL APPROVAL - REVIEW EXCEPTIONS,REJECT - REBASE PLAN"</formula1>
    </dataValidation>
  </dataValidations>
  <printOptions horizontalCentered="1"/>
  <pageMargins left="0.75" right="0.75" top="1" bottom="1" header="0.5" footer="0.5"/>
  <pageSetup fitToHeight="0" orientation="landscape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tabColor rgb="FF2F5597"/>
    <pageSetUpPr fitToPage="1"/>
  </sheetPr>
  <dimension ref="A1:X175"/>
  <sheetViews>
    <sheetView showGridLines="0" workbookViewId="0">
      <pane ySplit="15" topLeftCell="A103" activePane="bottomLeft" state="frozen"/>
      <selection pane="bottomLeft" sqref="A1:X1"/>
    </sheetView>
  </sheetViews>
  <sheetFormatPr baseColWidth="10" defaultColWidth="8.88671875" defaultRowHeight="14.4" x14ac:dyDescent="0.3"/>
  <cols>
    <col min="1" max="1" width="30" customWidth="1"/>
    <col min="2" max="2" width="22" customWidth="1"/>
    <col min="3" max="4" width="14" customWidth="1"/>
    <col min="5" max="5" width="17" customWidth="1"/>
    <col min="6" max="6" width="30" customWidth="1"/>
    <col min="7" max="8" width="10" customWidth="1"/>
    <col min="9" max="9" width="12" customWidth="1"/>
    <col min="10" max="10" width="9" customWidth="1"/>
    <col min="11" max="11" width="8" customWidth="1"/>
    <col min="12" max="14" width="11" customWidth="1"/>
    <col min="15" max="15" width="10" customWidth="1"/>
    <col min="16" max="16" width="12" customWidth="1"/>
    <col min="17" max="19" width="10" customWidth="1"/>
    <col min="20" max="20" width="12" customWidth="1"/>
    <col min="21" max="22" width="11" customWidth="1"/>
    <col min="23" max="24" width="14" customWidth="1"/>
  </cols>
  <sheetData>
    <row r="1" spans="1:24" ht="28.05" customHeight="1" x14ac:dyDescent="0.3">
      <c r="A1" s="51" t="s">
        <v>116</v>
      </c>
      <c r="B1" s="52"/>
      <c r="C1" s="52"/>
      <c r="D1" s="52"/>
      <c r="E1" s="52"/>
      <c r="F1" s="52"/>
      <c r="G1" s="52"/>
      <c r="H1" s="52"/>
      <c r="I1" s="52"/>
      <c r="J1" s="52"/>
      <c r="K1" s="52"/>
      <c r="L1" s="52"/>
      <c r="M1" s="52"/>
      <c r="N1" s="52"/>
      <c r="O1" s="52"/>
      <c r="P1" s="52"/>
      <c r="Q1" s="52"/>
      <c r="R1" s="52"/>
      <c r="S1" s="52"/>
      <c r="T1" s="52"/>
      <c r="U1" s="52"/>
      <c r="V1" s="52"/>
      <c r="W1" s="52"/>
      <c r="X1" s="52"/>
    </row>
    <row r="2" spans="1:24" ht="19.95" customHeight="1" x14ac:dyDescent="0.3">
      <c r="A2" s="58" t="s">
        <v>117</v>
      </c>
      <c r="B2" s="57"/>
      <c r="C2" s="57"/>
      <c r="D2" s="57"/>
      <c r="E2" s="57"/>
      <c r="F2" s="57"/>
      <c r="G2" s="57"/>
      <c r="H2" s="57"/>
      <c r="I2" s="57"/>
      <c r="J2" s="57"/>
      <c r="K2" s="57"/>
      <c r="L2" s="57"/>
      <c r="M2" s="57"/>
      <c r="N2" s="57"/>
      <c r="O2" s="57"/>
      <c r="P2" s="57"/>
      <c r="Q2" s="57"/>
      <c r="R2" s="57"/>
      <c r="S2" s="57"/>
      <c r="T2" s="57"/>
      <c r="U2" s="57"/>
      <c r="V2" s="57"/>
      <c r="W2" s="57"/>
      <c r="X2" s="57"/>
    </row>
    <row r="3" spans="1:24" x14ac:dyDescent="0.3">
      <c r="A3" s="60" t="s">
        <v>118</v>
      </c>
      <c r="B3" s="22">
        <v>14</v>
      </c>
      <c r="D3" s="60" t="s">
        <v>119</v>
      </c>
      <c r="E3" s="61"/>
      <c r="F3" s="23">
        <v>7</v>
      </c>
    </row>
    <row r="4" spans="1:24" x14ac:dyDescent="0.3">
      <c r="A4" s="60" t="s">
        <v>120</v>
      </c>
      <c r="B4" s="22">
        <v>3</v>
      </c>
      <c r="D4" s="60" t="s">
        <v>121</v>
      </c>
      <c r="E4" s="61"/>
      <c r="F4" s="24">
        <v>0.1</v>
      </c>
    </row>
    <row r="5" spans="1:24" x14ac:dyDescent="0.3">
      <c r="A5" s="60" t="s">
        <v>122</v>
      </c>
      <c r="B5" s="22">
        <v>75</v>
      </c>
      <c r="D5" s="60" t="s">
        <v>123</v>
      </c>
      <c r="E5" s="61"/>
      <c r="F5" s="22">
        <v>28</v>
      </c>
    </row>
    <row r="6" spans="1:24" x14ac:dyDescent="0.3">
      <c r="A6" s="60" t="s">
        <v>124</v>
      </c>
      <c r="B6" s="22">
        <v>10</v>
      </c>
      <c r="D6" s="60" t="s">
        <v>125</v>
      </c>
      <c r="E6" s="61"/>
      <c r="F6" s="22">
        <v>20</v>
      </c>
    </row>
    <row r="7" spans="1:24" x14ac:dyDescent="0.3">
      <c r="A7" s="60" t="s">
        <v>126</v>
      </c>
      <c r="B7" s="22">
        <v>32</v>
      </c>
      <c r="D7" s="60" t="s">
        <v>127</v>
      </c>
      <c r="E7" s="61"/>
      <c r="F7" s="25">
        <v>0.84</v>
      </c>
    </row>
    <row r="8" spans="1:24" x14ac:dyDescent="0.3">
      <c r="A8" s="60" t="s">
        <v>128</v>
      </c>
      <c r="B8" s="22">
        <v>21</v>
      </c>
      <c r="D8" s="60" t="s">
        <v>129</v>
      </c>
      <c r="E8" s="61"/>
      <c r="F8" s="22">
        <v>12</v>
      </c>
    </row>
    <row r="9" spans="1:24" x14ac:dyDescent="0.3">
      <c r="A9" s="60" t="s">
        <v>130</v>
      </c>
      <c r="B9" s="22">
        <v>120</v>
      </c>
      <c r="D9" s="60" t="s">
        <v>131</v>
      </c>
      <c r="E9" s="61"/>
      <c r="F9" s="22">
        <v>5000</v>
      </c>
    </row>
    <row r="10" spans="1:24" x14ac:dyDescent="0.3">
      <c r="A10" s="60" t="s">
        <v>132</v>
      </c>
      <c r="B10" s="23">
        <v>28.8</v>
      </c>
      <c r="D10" s="60" t="s">
        <v>133</v>
      </c>
      <c r="E10" s="61"/>
      <c r="F10" s="23">
        <v>15</v>
      </c>
    </row>
    <row r="11" spans="1:24" x14ac:dyDescent="0.3">
      <c r="A11" s="60" t="s">
        <v>134</v>
      </c>
      <c r="B11" s="23">
        <v>70</v>
      </c>
      <c r="D11" s="60" t="s">
        <v>135</v>
      </c>
      <c r="E11" s="61"/>
      <c r="F11" s="23">
        <v>1.8</v>
      </c>
    </row>
    <row r="12" spans="1:24" x14ac:dyDescent="0.3">
      <c r="A12" s="60" t="s">
        <v>136</v>
      </c>
      <c r="B12" s="22">
        <v>135</v>
      </c>
      <c r="D12" s="60" t="s">
        <v>137</v>
      </c>
      <c r="E12" s="61"/>
      <c r="F12" s="22">
        <v>20</v>
      </c>
    </row>
    <row r="13" spans="1:24" ht="30" customHeight="1" x14ac:dyDescent="0.3">
      <c r="A13" s="2" t="s">
        <v>112</v>
      </c>
      <c r="B13" s="26" t="s">
        <v>138</v>
      </c>
      <c r="D13" s="62" t="s">
        <v>139</v>
      </c>
      <c r="E13" s="54"/>
      <c r="F13" s="54"/>
      <c r="G13" s="54"/>
      <c r="H13" s="54"/>
      <c r="I13" s="54"/>
      <c r="J13" s="54"/>
      <c r="K13" s="54"/>
      <c r="L13" s="54"/>
      <c r="M13" s="54"/>
      <c r="N13" s="54"/>
      <c r="O13" s="54"/>
      <c r="P13" s="54"/>
      <c r="Q13" s="54"/>
      <c r="R13" s="54"/>
      <c r="S13" s="54"/>
      <c r="T13" s="54"/>
      <c r="U13" s="54"/>
      <c r="V13" s="54"/>
      <c r="W13" s="54"/>
      <c r="X13" s="54"/>
    </row>
    <row r="15" spans="1:24" ht="37.950000000000003" customHeight="1" x14ac:dyDescent="0.3">
      <c r="A15" s="27" t="s">
        <v>140</v>
      </c>
      <c r="B15" s="27" t="s">
        <v>141</v>
      </c>
      <c r="C15" s="27" t="s">
        <v>142</v>
      </c>
      <c r="D15" s="27" t="s">
        <v>143</v>
      </c>
      <c r="E15" s="27" t="s">
        <v>144</v>
      </c>
      <c r="F15" s="27" t="s">
        <v>145</v>
      </c>
      <c r="G15" s="27" t="s">
        <v>146</v>
      </c>
      <c r="H15" s="27" t="s">
        <v>147</v>
      </c>
      <c r="I15" s="27" t="s">
        <v>148</v>
      </c>
      <c r="J15" s="27" t="s">
        <v>149</v>
      </c>
      <c r="K15" s="27" t="s">
        <v>150</v>
      </c>
      <c r="L15" s="27" t="s">
        <v>151</v>
      </c>
      <c r="M15" s="27" t="s">
        <v>152</v>
      </c>
      <c r="N15" s="27" t="s">
        <v>153</v>
      </c>
      <c r="O15" s="27" t="s">
        <v>154</v>
      </c>
      <c r="P15" s="27" t="s">
        <v>155</v>
      </c>
      <c r="Q15" s="27" t="s">
        <v>156</v>
      </c>
      <c r="R15" s="27" t="s">
        <v>157</v>
      </c>
      <c r="S15" s="27" t="s">
        <v>158</v>
      </c>
      <c r="T15" s="27" t="s">
        <v>159</v>
      </c>
      <c r="U15" s="27" t="s">
        <v>160</v>
      </c>
      <c r="V15" s="27" t="s">
        <v>161</v>
      </c>
      <c r="W15" s="27" t="s">
        <v>162</v>
      </c>
      <c r="X15" s="27" t="s">
        <v>163</v>
      </c>
    </row>
    <row r="16" spans="1:24" x14ac:dyDescent="0.3">
      <c r="A16" s="16" t="s">
        <v>164</v>
      </c>
      <c r="B16" s="16" t="s">
        <v>165</v>
      </c>
      <c r="C16" s="16" t="s">
        <v>166</v>
      </c>
      <c r="D16" s="16" t="s">
        <v>167</v>
      </c>
      <c r="E16" s="28">
        <v>4400000000000</v>
      </c>
      <c r="F16" s="16" t="s">
        <v>168</v>
      </c>
      <c r="G16" s="16" t="s">
        <v>169</v>
      </c>
      <c r="H16" s="16" t="s">
        <v>170</v>
      </c>
      <c r="I16" s="16" t="s">
        <v>171</v>
      </c>
      <c r="J16" s="16" t="s">
        <v>172</v>
      </c>
      <c r="K16" s="29">
        <v>1.881</v>
      </c>
      <c r="L16" s="16">
        <v>100</v>
      </c>
      <c r="M16" s="30">
        <v>0.06</v>
      </c>
      <c r="N16" s="31">
        <v>12.2</v>
      </c>
      <c r="O16" s="16">
        <v>300</v>
      </c>
      <c r="P16" s="16">
        <v>5000</v>
      </c>
      <c r="Q16" s="32">
        <v>4.2</v>
      </c>
      <c r="R16" s="32">
        <v>5.15</v>
      </c>
      <c r="S16" s="32">
        <v>40</v>
      </c>
      <c r="T16" s="33">
        <v>3.1008000000000001E-2</v>
      </c>
      <c r="U16" s="34">
        <v>5.64E-3</v>
      </c>
      <c r="V16" s="35">
        <v>0.72</v>
      </c>
      <c r="W16" s="16" t="s">
        <v>173</v>
      </c>
      <c r="X16" s="16" t="s">
        <v>174</v>
      </c>
    </row>
    <row r="17" spans="1:24" x14ac:dyDescent="0.3">
      <c r="A17" s="16" t="s">
        <v>175</v>
      </c>
      <c r="B17" s="16" t="s">
        <v>165</v>
      </c>
      <c r="C17" s="16" t="s">
        <v>176</v>
      </c>
      <c r="D17" s="16" t="s">
        <v>177</v>
      </c>
      <c r="E17" s="28">
        <v>4400000000001</v>
      </c>
      <c r="F17" s="16" t="s">
        <v>168</v>
      </c>
      <c r="G17" s="16" t="s">
        <v>169</v>
      </c>
      <c r="H17" s="16" t="s">
        <v>170</v>
      </c>
      <c r="I17" s="16" t="s">
        <v>178</v>
      </c>
      <c r="J17" s="16" t="s">
        <v>179</v>
      </c>
      <c r="K17" s="29">
        <v>1.645</v>
      </c>
      <c r="L17" s="16">
        <v>100</v>
      </c>
      <c r="M17" s="30">
        <v>0.06</v>
      </c>
      <c r="N17" s="31">
        <v>12.2</v>
      </c>
      <c r="O17" s="16">
        <v>300</v>
      </c>
      <c r="P17" s="16">
        <v>5000</v>
      </c>
      <c r="Q17" s="32">
        <v>4.2</v>
      </c>
      <c r="R17" s="32">
        <v>5.15</v>
      </c>
      <c r="S17" s="32">
        <v>40</v>
      </c>
      <c r="T17" s="33">
        <v>1.4592000000000001E-2</v>
      </c>
      <c r="U17" s="34">
        <v>5.64E-3</v>
      </c>
      <c r="V17" s="35">
        <v>0.72</v>
      </c>
      <c r="W17" s="16" t="s">
        <v>173</v>
      </c>
      <c r="X17" s="16" t="s">
        <v>174</v>
      </c>
    </row>
    <row r="18" spans="1:24" x14ac:dyDescent="0.3">
      <c r="A18" s="16" t="s">
        <v>180</v>
      </c>
      <c r="B18" s="16" t="s">
        <v>165</v>
      </c>
      <c r="C18" s="16" t="s">
        <v>181</v>
      </c>
      <c r="D18" s="16" t="s">
        <v>182</v>
      </c>
      <c r="E18" s="28">
        <v>4400000000002</v>
      </c>
      <c r="F18" s="16" t="s">
        <v>168</v>
      </c>
      <c r="G18" s="16" t="s">
        <v>169</v>
      </c>
      <c r="H18" s="16" t="s">
        <v>183</v>
      </c>
      <c r="I18" s="16" t="s">
        <v>171</v>
      </c>
      <c r="J18" s="16" t="s">
        <v>184</v>
      </c>
      <c r="K18" s="29">
        <v>1.645</v>
      </c>
      <c r="L18" s="16">
        <v>100</v>
      </c>
      <c r="M18" s="30">
        <v>0.06</v>
      </c>
      <c r="N18" s="31">
        <v>12.2</v>
      </c>
      <c r="O18" s="16">
        <v>300</v>
      </c>
      <c r="P18" s="16">
        <v>5000</v>
      </c>
      <c r="Q18" s="32">
        <v>4.2</v>
      </c>
      <c r="R18" s="32">
        <v>5.15</v>
      </c>
      <c r="S18" s="32">
        <v>40</v>
      </c>
      <c r="T18" s="33">
        <v>1.9584000000000001E-2</v>
      </c>
      <c r="U18" s="34">
        <v>5.64E-3</v>
      </c>
      <c r="V18" s="35">
        <v>0.72</v>
      </c>
      <c r="W18" s="16" t="s">
        <v>173</v>
      </c>
      <c r="X18" s="16" t="s">
        <v>174</v>
      </c>
    </row>
    <row r="19" spans="1:24" x14ac:dyDescent="0.3">
      <c r="A19" s="16" t="s">
        <v>185</v>
      </c>
      <c r="B19" s="16" t="s">
        <v>165</v>
      </c>
      <c r="C19" s="16" t="s">
        <v>186</v>
      </c>
      <c r="D19" s="16" t="s">
        <v>187</v>
      </c>
      <c r="E19" s="28">
        <v>4400000000003</v>
      </c>
      <c r="F19" s="16" t="s">
        <v>168</v>
      </c>
      <c r="G19" s="16" t="s">
        <v>169</v>
      </c>
      <c r="H19" s="16" t="s">
        <v>183</v>
      </c>
      <c r="I19" s="16" t="s">
        <v>178</v>
      </c>
      <c r="J19" s="16" t="s">
        <v>188</v>
      </c>
      <c r="K19" s="29">
        <v>1.282</v>
      </c>
      <c r="L19" s="16">
        <v>100</v>
      </c>
      <c r="M19" s="30">
        <v>0.06</v>
      </c>
      <c r="N19" s="31">
        <v>12.2</v>
      </c>
      <c r="O19" s="16">
        <v>300</v>
      </c>
      <c r="P19" s="16">
        <v>5000</v>
      </c>
      <c r="Q19" s="32">
        <v>4.2</v>
      </c>
      <c r="R19" s="32">
        <v>5.15</v>
      </c>
      <c r="S19" s="32">
        <v>40</v>
      </c>
      <c r="T19" s="33">
        <v>9.2160000000000002E-3</v>
      </c>
      <c r="U19" s="34">
        <v>5.64E-3</v>
      </c>
      <c r="V19" s="35">
        <v>0.72</v>
      </c>
      <c r="W19" s="16" t="s">
        <v>173</v>
      </c>
      <c r="X19" s="16" t="s">
        <v>174</v>
      </c>
    </row>
    <row r="20" spans="1:24" x14ac:dyDescent="0.3">
      <c r="A20" s="16" t="s">
        <v>189</v>
      </c>
      <c r="B20" s="16" t="s">
        <v>165</v>
      </c>
      <c r="C20" s="16" t="s">
        <v>190</v>
      </c>
      <c r="D20" s="16" t="s">
        <v>191</v>
      </c>
      <c r="E20" s="28">
        <v>4400000000004</v>
      </c>
      <c r="F20" s="16" t="s">
        <v>168</v>
      </c>
      <c r="G20" s="16" t="s">
        <v>169</v>
      </c>
      <c r="H20" s="16" t="s">
        <v>192</v>
      </c>
      <c r="I20" s="16" t="s">
        <v>171</v>
      </c>
      <c r="J20" s="16" t="s">
        <v>188</v>
      </c>
      <c r="K20" s="29">
        <v>1.282</v>
      </c>
      <c r="L20" s="16">
        <v>100</v>
      </c>
      <c r="M20" s="30">
        <v>0.06</v>
      </c>
      <c r="N20" s="31">
        <v>12.2</v>
      </c>
      <c r="O20" s="16">
        <v>300</v>
      </c>
      <c r="P20" s="16">
        <v>5000</v>
      </c>
      <c r="Q20" s="32">
        <v>4.2</v>
      </c>
      <c r="R20" s="32">
        <v>5.15</v>
      </c>
      <c r="S20" s="32">
        <v>40</v>
      </c>
      <c r="T20" s="33">
        <v>1.1424E-2</v>
      </c>
      <c r="U20" s="34">
        <v>5.64E-3</v>
      </c>
      <c r="V20" s="35">
        <v>0.72</v>
      </c>
      <c r="W20" s="16" t="s">
        <v>173</v>
      </c>
      <c r="X20" s="16" t="s">
        <v>174</v>
      </c>
    </row>
    <row r="21" spans="1:24" x14ac:dyDescent="0.3">
      <c r="A21" s="16" t="s">
        <v>193</v>
      </c>
      <c r="B21" s="16" t="s">
        <v>165</v>
      </c>
      <c r="C21" s="16" t="s">
        <v>194</v>
      </c>
      <c r="D21" s="16" t="s">
        <v>195</v>
      </c>
      <c r="E21" s="28">
        <v>4400000000005</v>
      </c>
      <c r="F21" s="16" t="s">
        <v>168</v>
      </c>
      <c r="G21" s="16" t="s">
        <v>169</v>
      </c>
      <c r="H21" s="16" t="s">
        <v>192</v>
      </c>
      <c r="I21" s="16" t="s">
        <v>178</v>
      </c>
      <c r="J21" s="16" t="s">
        <v>188</v>
      </c>
      <c r="K21" s="29">
        <v>1.282</v>
      </c>
      <c r="L21" s="16">
        <v>100</v>
      </c>
      <c r="M21" s="30">
        <v>0.06</v>
      </c>
      <c r="N21" s="31">
        <v>12.2</v>
      </c>
      <c r="O21" s="16">
        <v>300</v>
      </c>
      <c r="P21" s="16">
        <v>5000</v>
      </c>
      <c r="Q21" s="32">
        <v>4.2</v>
      </c>
      <c r="R21" s="32">
        <v>5.15</v>
      </c>
      <c r="S21" s="32">
        <v>40</v>
      </c>
      <c r="T21" s="33">
        <v>5.3759999999999997E-3</v>
      </c>
      <c r="U21" s="34">
        <v>5.64E-3</v>
      </c>
      <c r="V21" s="35">
        <v>0.72</v>
      </c>
      <c r="W21" s="16" t="s">
        <v>173</v>
      </c>
      <c r="X21" s="16" t="s">
        <v>174</v>
      </c>
    </row>
    <row r="22" spans="1:24" x14ac:dyDescent="0.3">
      <c r="A22" s="16" t="s">
        <v>196</v>
      </c>
      <c r="B22" s="16" t="s">
        <v>165</v>
      </c>
      <c r="C22" s="16" t="s">
        <v>197</v>
      </c>
      <c r="D22" s="16" t="s">
        <v>198</v>
      </c>
      <c r="E22" s="28">
        <v>4400000000006</v>
      </c>
      <c r="F22" s="16" t="s">
        <v>168</v>
      </c>
      <c r="G22" s="16" t="s">
        <v>169</v>
      </c>
      <c r="H22" s="16" t="s">
        <v>199</v>
      </c>
      <c r="I22" s="16" t="s">
        <v>171</v>
      </c>
      <c r="J22" s="16" t="s">
        <v>188</v>
      </c>
      <c r="K22" s="29">
        <v>1.282</v>
      </c>
      <c r="L22" s="16">
        <v>100</v>
      </c>
      <c r="M22" s="30">
        <v>0.06</v>
      </c>
      <c r="N22" s="31">
        <v>12.2</v>
      </c>
      <c r="O22" s="16">
        <v>300</v>
      </c>
      <c r="P22" s="16">
        <v>5000</v>
      </c>
      <c r="Q22" s="32">
        <v>4.2</v>
      </c>
      <c r="R22" s="32">
        <v>5.15</v>
      </c>
      <c r="S22" s="32">
        <v>40</v>
      </c>
      <c r="T22" s="33">
        <v>8.9759999999999996E-3</v>
      </c>
      <c r="U22" s="34">
        <v>5.64E-3</v>
      </c>
      <c r="V22" s="35">
        <v>0.72</v>
      </c>
      <c r="W22" s="16" t="s">
        <v>173</v>
      </c>
      <c r="X22" s="16" t="s">
        <v>174</v>
      </c>
    </row>
    <row r="23" spans="1:24" x14ac:dyDescent="0.3">
      <c r="A23" s="16" t="s">
        <v>200</v>
      </c>
      <c r="B23" s="16" t="s">
        <v>165</v>
      </c>
      <c r="C23" s="16" t="s">
        <v>201</v>
      </c>
      <c r="D23" s="16" t="s">
        <v>202</v>
      </c>
      <c r="E23" s="28">
        <v>4400000000007</v>
      </c>
      <c r="F23" s="16" t="s">
        <v>168</v>
      </c>
      <c r="G23" s="16" t="s">
        <v>169</v>
      </c>
      <c r="H23" s="16" t="s">
        <v>199</v>
      </c>
      <c r="I23" s="16" t="s">
        <v>178</v>
      </c>
      <c r="J23" s="16" t="s">
        <v>188</v>
      </c>
      <c r="K23" s="29">
        <v>1.282</v>
      </c>
      <c r="L23" s="16">
        <v>100</v>
      </c>
      <c r="M23" s="30">
        <v>0.06</v>
      </c>
      <c r="N23" s="31">
        <v>12.2</v>
      </c>
      <c r="O23" s="16">
        <v>300</v>
      </c>
      <c r="P23" s="16">
        <v>5000</v>
      </c>
      <c r="Q23" s="32">
        <v>4.2</v>
      </c>
      <c r="R23" s="32">
        <v>5.15</v>
      </c>
      <c r="S23" s="32">
        <v>40</v>
      </c>
      <c r="T23" s="33">
        <v>4.2240000000000003E-3</v>
      </c>
      <c r="U23" s="34">
        <v>5.64E-3</v>
      </c>
      <c r="V23" s="35">
        <v>0.72</v>
      </c>
      <c r="W23" s="16" t="s">
        <v>173</v>
      </c>
      <c r="X23" s="16" t="s">
        <v>174</v>
      </c>
    </row>
    <row r="24" spans="1:24" x14ac:dyDescent="0.3">
      <c r="A24" s="16" t="s">
        <v>203</v>
      </c>
      <c r="B24" s="16" t="s">
        <v>165</v>
      </c>
      <c r="C24" s="16" t="s">
        <v>204</v>
      </c>
      <c r="D24" s="16" t="s">
        <v>205</v>
      </c>
      <c r="E24" s="28">
        <v>4400000000008</v>
      </c>
      <c r="F24" s="16" t="s">
        <v>168</v>
      </c>
      <c r="G24" s="16" t="s">
        <v>169</v>
      </c>
      <c r="H24" s="16" t="s">
        <v>206</v>
      </c>
      <c r="I24" s="16" t="s">
        <v>171</v>
      </c>
      <c r="J24" s="16" t="s">
        <v>188</v>
      </c>
      <c r="K24" s="29">
        <v>1.282</v>
      </c>
      <c r="L24" s="16">
        <v>100</v>
      </c>
      <c r="M24" s="30">
        <v>0.06</v>
      </c>
      <c r="N24" s="31">
        <v>12.2</v>
      </c>
      <c r="O24" s="16">
        <v>300</v>
      </c>
      <c r="P24" s="16">
        <v>5000</v>
      </c>
      <c r="Q24" s="32">
        <v>4.2</v>
      </c>
      <c r="R24" s="32">
        <v>5.15</v>
      </c>
      <c r="S24" s="32">
        <v>40</v>
      </c>
      <c r="T24" s="33">
        <v>6.5279999999999999E-3</v>
      </c>
      <c r="U24" s="34">
        <v>5.64E-3</v>
      </c>
      <c r="V24" s="35">
        <v>0.72</v>
      </c>
      <c r="W24" s="16" t="s">
        <v>173</v>
      </c>
      <c r="X24" s="16" t="s">
        <v>174</v>
      </c>
    </row>
    <row r="25" spans="1:24" x14ac:dyDescent="0.3">
      <c r="A25" s="16" t="s">
        <v>207</v>
      </c>
      <c r="B25" s="16" t="s">
        <v>165</v>
      </c>
      <c r="C25" s="16" t="s">
        <v>208</v>
      </c>
      <c r="D25" s="16" t="s">
        <v>209</v>
      </c>
      <c r="E25" s="28">
        <v>4400000000009</v>
      </c>
      <c r="F25" s="16" t="s">
        <v>168</v>
      </c>
      <c r="G25" s="16" t="s">
        <v>169</v>
      </c>
      <c r="H25" s="16" t="s">
        <v>206</v>
      </c>
      <c r="I25" s="16" t="s">
        <v>178</v>
      </c>
      <c r="J25" s="16" t="s">
        <v>188</v>
      </c>
      <c r="K25" s="29">
        <v>1.282</v>
      </c>
      <c r="L25" s="16">
        <v>100</v>
      </c>
      <c r="M25" s="30">
        <v>0.06</v>
      </c>
      <c r="N25" s="31">
        <v>12.2</v>
      </c>
      <c r="O25" s="16">
        <v>300</v>
      </c>
      <c r="P25" s="16">
        <v>5000</v>
      </c>
      <c r="Q25" s="32">
        <v>4.2</v>
      </c>
      <c r="R25" s="32">
        <v>5.15</v>
      </c>
      <c r="S25" s="32">
        <v>40</v>
      </c>
      <c r="T25" s="33">
        <v>3.0720000000000001E-3</v>
      </c>
      <c r="U25" s="34">
        <v>5.64E-3</v>
      </c>
      <c r="V25" s="35">
        <v>0.72</v>
      </c>
      <c r="W25" s="16" t="s">
        <v>173</v>
      </c>
      <c r="X25" s="16" t="s">
        <v>174</v>
      </c>
    </row>
    <row r="26" spans="1:24" x14ac:dyDescent="0.3">
      <c r="A26" s="16" t="s">
        <v>210</v>
      </c>
      <c r="B26" s="16" t="s">
        <v>165</v>
      </c>
      <c r="C26" s="16" t="s">
        <v>211</v>
      </c>
      <c r="D26" s="16" t="s">
        <v>212</v>
      </c>
      <c r="E26" s="28">
        <v>4400000000010</v>
      </c>
      <c r="F26" s="16" t="s">
        <v>168</v>
      </c>
      <c r="G26" s="16" t="s">
        <v>169</v>
      </c>
      <c r="H26" s="16" t="s">
        <v>213</v>
      </c>
      <c r="I26" s="16" t="s">
        <v>171</v>
      </c>
      <c r="J26" s="16" t="s">
        <v>188</v>
      </c>
      <c r="K26" s="29">
        <v>1.282</v>
      </c>
      <c r="L26" s="16">
        <v>100</v>
      </c>
      <c r="M26" s="30">
        <v>0.06</v>
      </c>
      <c r="N26" s="31">
        <v>12.2</v>
      </c>
      <c r="O26" s="16">
        <v>300</v>
      </c>
      <c r="P26" s="16">
        <v>5000</v>
      </c>
      <c r="Q26" s="32">
        <v>4.2</v>
      </c>
      <c r="R26" s="32">
        <v>5.15</v>
      </c>
      <c r="S26" s="32">
        <v>40</v>
      </c>
      <c r="T26" s="33">
        <v>4.0800000000000003E-3</v>
      </c>
      <c r="U26" s="34">
        <v>5.64E-3</v>
      </c>
      <c r="V26" s="35">
        <v>0.72</v>
      </c>
      <c r="W26" s="16" t="s">
        <v>173</v>
      </c>
      <c r="X26" s="16" t="s">
        <v>174</v>
      </c>
    </row>
    <row r="27" spans="1:24" x14ac:dyDescent="0.3">
      <c r="A27" s="16" t="s">
        <v>214</v>
      </c>
      <c r="B27" s="16" t="s">
        <v>165</v>
      </c>
      <c r="C27" s="16" t="s">
        <v>215</v>
      </c>
      <c r="D27" s="16" t="s">
        <v>216</v>
      </c>
      <c r="E27" s="28">
        <v>4400000000011</v>
      </c>
      <c r="F27" s="16" t="s">
        <v>168</v>
      </c>
      <c r="G27" s="16" t="s">
        <v>169</v>
      </c>
      <c r="H27" s="16" t="s">
        <v>213</v>
      </c>
      <c r="I27" s="16" t="s">
        <v>178</v>
      </c>
      <c r="J27" s="16" t="s">
        <v>188</v>
      </c>
      <c r="K27" s="29">
        <v>1.282</v>
      </c>
      <c r="L27" s="16">
        <v>100</v>
      </c>
      <c r="M27" s="30">
        <v>0.06</v>
      </c>
      <c r="N27" s="31">
        <v>12.2</v>
      </c>
      <c r="O27" s="16">
        <v>300</v>
      </c>
      <c r="P27" s="16">
        <v>5000</v>
      </c>
      <c r="Q27" s="32">
        <v>4.2</v>
      </c>
      <c r="R27" s="32">
        <v>5.15</v>
      </c>
      <c r="S27" s="32">
        <v>40</v>
      </c>
      <c r="T27" s="33">
        <v>1.92E-3</v>
      </c>
      <c r="U27" s="34">
        <v>5.64E-3</v>
      </c>
      <c r="V27" s="35">
        <v>0.72</v>
      </c>
      <c r="W27" s="16" t="s">
        <v>173</v>
      </c>
      <c r="X27" s="16" t="s">
        <v>174</v>
      </c>
    </row>
    <row r="28" spans="1:24" x14ac:dyDescent="0.3">
      <c r="A28" s="16" t="s">
        <v>217</v>
      </c>
      <c r="B28" s="16" t="s">
        <v>165</v>
      </c>
      <c r="C28" s="16" t="s">
        <v>218</v>
      </c>
      <c r="D28" s="16" t="s">
        <v>219</v>
      </c>
      <c r="E28" s="28">
        <v>4400000000012</v>
      </c>
      <c r="F28" s="16" t="s">
        <v>168</v>
      </c>
      <c r="G28" s="16" t="s">
        <v>220</v>
      </c>
      <c r="H28" s="16" t="s">
        <v>170</v>
      </c>
      <c r="I28" s="16" t="s">
        <v>171</v>
      </c>
      <c r="J28" s="16" t="s">
        <v>221</v>
      </c>
      <c r="K28" s="29">
        <v>2.0539999999999998</v>
      </c>
      <c r="L28" s="16">
        <v>100</v>
      </c>
      <c r="M28" s="30">
        <v>0.06</v>
      </c>
      <c r="N28" s="31">
        <v>12.2</v>
      </c>
      <c r="O28" s="16">
        <v>300</v>
      </c>
      <c r="P28" s="16">
        <v>5000</v>
      </c>
      <c r="Q28" s="32">
        <v>4.2</v>
      </c>
      <c r="R28" s="32">
        <v>5.15</v>
      </c>
      <c r="S28" s="32">
        <v>40</v>
      </c>
      <c r="T28" s="33">
        <v>0.13436799999999999</v>
      </c>
      <c r="U28" s="34">
        <v>5.64E-3</v>
      </c>
      <c r="V28" s="35">
        <v>0.72</v>
      </c>
      <c r="W28" s="16" t="s">
        <v>173</v>
      </c>
      <c r="X28" s="16" t="s">
        <v>174</v>
      </c>
    </row>
    <row r="29" spans="1:24" x14ac:dyDescent="0.3">
      <c r="A29" s="16" t="s">
        <v>222</v>
      </c>
      <c r="B29" s="16" t="s">
        <v>165</v>
      </c>
      <c r="C29" s="16" t="s">
        <v>223</v>
      </c>
      <c r="D29" s="16" t="s">
        <v>224</v>
      </c>
      <c r="E29" s="28">
        <v>4400000000013</v>
      </c>
      <c r="F29" s="16" t="s">
        <v>168</v>
      </c>
      <c r="G29" s="16" t="s">
        <v>220</v>
      </c>
      <c r="H29" s="16" t="s">
        <v>170</v>
      </c>
      <c r="I29" s="16" t="s">
        <v>178</v>
      </c>
      <c r="J29" s="16" t="s">
        <v>221</v>
      </c>
      <c r="K29" s="29">
        <v>2.0539999999999998</v>
      </c>
      <c r="L29" s="16">
        <v>100</v>
      </c>
      <c r="M29" s="30">
        <v>0.06</v>
      </c>
      <c r="N29" s="31">
        <v>12.2</v>
      </c>
      <c r="O29" s="16">
        <v>300</v>
      </c>
      <c r="P29" s="16">
        <v>5000</v>
      </c>
      <c r="Q29" s="32">
        <v>4.2</v>
      </c>
      <c r="R29" s="32">
        <v>5.15</v>
      </c>
      <c r="S29" s="32">
        <v>40</v>
      </c>
      <c r="T29" s="33">
        <v>6.3231999999999997E-2</v>
      </c>
      <c r="U29" s="34">
        <v>5.64E-3</v>
      </c>
      <c r="V29" s="35">
        <v>0.72</v>
      </c>
      <c r="W29" s="16" t="s">
        <v>173</v>
      </c>
      <c r="X29" s="16" t="s">
        <v>174</v>
      </c>
    </row>
    <row r="30" spans="1:24" x14ac:dyDescent="0.3">
      <c r="A30" s="16" t="s">
        <v>225</v>
      </c>
      <c r="B30" s="16" t="s">
        <v>165</v>
      </c>
      <c r="C30" s="16" t="s">
        <v>226</v>
      </c>
      <c r="D30" s="16" t="s">
        <v>227</v>
      </c>
      <c r="E30" s="28">
        <v>4400000000014</v>
      </c>
      <c r="F30" s="16" t="s">
        <v>168</v>
      </c>
      <c r="G30" s="16" t="s">
        <v>220</v>
      </c>
      <c r="H30" s="16" t="s">
        <v>183</v>
      </c>
      <c r="I30" s="16" t="s">
        <v>171</v>
      </c>
      <c r="J30" s="16" t="s">
        <v>221</v>
      </c>
      <c r="K30" s="29">
        <v>2.0539999999999998</v>
      </c>
      <c r="L30" s="16">
        <v>100</v>
      </c>
      <c r="M30" s="30">
        <v>0.06</v>
      </c>
      <c r="N30" s="31">
        <v>12.2</v>
      </c>
      <c r="O30" s="16">
        <v>300</v>
      </c>
      <c r="P30" s="16">
        <v>5000</v>
      </c>
      <c r="Q30" s="32">
        <v>4.2</v>
      </c>
      <c r="R30" s="32">
        <v>5.15</v>
      </c>
      <c r="S30" s="32">
        <v>40</v>
      </c>
      <c r="T30" s="33">
        <v>8.4863999999999995E-2</v>
      </c>
      <c r="U30" s="34">
        <v>5.64E-3</v>
      </c>
      <c r="V30" s="35">
        <v>0.72</v>
      </c>
      <c r="W30" s="16" t="s">
        <v>173</v>
      </c>
      <c r="X30" s="16" t="s">
        <v>174</v>
      </c>
    </row>
    <row r="31" spans="1:24" x14ac:dyDescent="0.3">
      <c r="A31" s="16" t="s">
        <v>228</v>
      </c>
      <c r="B31" s="16" t="s">
        <v>165</v>
      </c>
      <c r="C31" s="16" t="s">
        <v>229</v>
      </c>
      <c r="D31" s="16" t="s">
        <v>230</v>
      </c>
      <c r="E31" s="28">
        <v>4400000000015</v>
      </c>
      <c r="F31" s="16" t="s">
        <v>168</v>
      </c>
      <c r="G31" s="16" t="s">
        <v>220</v>
      </c>
      <c r="H31" s="16" t="s">
        <v>183</v>
      </c>
      <c r="I31" s="16" t="s">
        <v>178</v>
      </c>
      <c r="J31" s="16" t="s">
        <v>221</v>
      </c>
      <c r="K31" s="29">
        <v>2.0539999999999998</v>
      </c>
      <c r="L31" s="16">
        <v>100</v>
      </c>
      <c r="M31" s="30">
        <v>0.06</v>
      </c>
      <c r="N31" s="31">
        <v>12.2</v>
      </c>
      <c r="O31" s="16">
        <v>300</v>
      </c>
      <c r="P31" s="16">
        <v>5000</v>
      </c>
      <c r="Q31" s="32">
        <v>4.2</v>
      </c>
      <c r="R31" s="32">
        <v>5.15</v>
      </c>
      <c r="S31" s="32">
        <v>40</v>
      </c>
      <c r="T31" s="33">
        <v>3.9935999999999999E-2</v>
      </c>
      <c r="U31" s="34">
        <v>5.64E-3</v>
      </c>
      <c r="V31" s="35">
        <v>0.72</v>
      </c>
      <c r="W31" s="16" t="s">
        <v>173</v>
      </c>
      <c r="X31" s="16" t="s">
        <v>174</v>
      </c>
    </row>
    <row r="32" spans="1:24" x14ac:dyDescent="0.3">
      <c r="A32" s="16" t="s">
        <v>231</v>
      </c>
      <c r="B32" s="16" t="s">
        <v>165</v>
      </c>
      <c r="C32" s="16" t="s">
        <v>232</v>
      </c>
      <c r="D32" s="16" t="s">
        <v>233</v>
      </c>
      <c r="E32" s="28">
        <v>4400000000016</v>
      </c>
      <c r="F32" s="16" t="s">
        <v>168</v>
      </c>
      <c r="G32" s="16" t="s">
        <v>220</v>
      </c>
      <c r="H32" s="16" t="s">
        <v>192</v>
      </c>
      <c r="I32" s="16" t="s">
        <v>171</v>
      </c>
      <c r="J32" s="16" t="s">
        <v>221</v>
      </c>
      <c r="K32" s="29">
        <v>2.0539999999999998</v>
      </c>
      <c r="L32" s="16">
        <v>100</v>
      </c>
      <c r="M32" s="30">
        <v>0.06</v>
      </c>
      <c r="N32" s="31">
        <v>12.2</v>
      </c>
      <c r="O32" s="16">
        <v>300</v>
      </c>
      <c r="P32" s="16">
        <v>5000</v>
      </c>
      <c r="Q32" s="32">
        <v>4.2</v>
      </c>
      <c r="R32" s="32">
        <v>5.15</v>
      </c>
      <c r="S32" s="32">
        <v>40</v>
      </c>
      <c r="T32" s="33">
        <v>4.9503999999999999E-2</v>
      </c>
      <c r="U32" s="34">
        <v>5.64E-3</v>
      </c>
      <c r="V32" s="35">
        <v>0.72</v>
      </c>
      <c r="W32" s="16" t="s">
        <v>173</v>
      </c>
      <c r="X32" s="16" t="s">
        <v>174</v>
      </c>
    </row>
    <row r="33" spans="1:24" x14ac:dyDescent="0.3">
      <c r="A33" s="16" t="s">
        <v>234</v>
      </c>
      <c r="B33" s="16" t="s">
        <v>165</v>
      </c>
      <c r="C33" s="16" t="s">
        <v>235</v>
      </c>
      <c r="D33" s="16" t="s">
        <v>236</v>
      </c>
      <c r="E33" s="28">
        <v>4400000000017</v>
      </c>
      <c r="F33" s="16" t="s">
        <v>168</v>
      </c>
      <c r="G33" s="16" t="s">
        <v>220</v>
      </c>
      <c r="H33" s="16" t="s">
        <v>192</v>
      </c>
      <c r="I33" s="16" t="s">
        <v>178</v>
      </c>
      <c r="J33" s="16" t="s">
        <v>184</v>
      </c>
      <c r="K33" s="29">
        <v>1.645</v>
      </c>
      <c r="L33" s="16">
        <v>100</v>
      </c>
      <c r="M33" s="30">
        <v>0.06</v>
      </c>
      <c r="N33" s="31">
        <v>12.2</v>
      </c>
      <c r="O33" s="16">
        <v>300</v>
      </c>
      <c r="P33" s="16">
        <v>5000</v>
      </c>
      <c r="Q33" s="32">
        <v>4.2</v>
      </c>
      <c r="R33" s="32">
        <v>5.15</v>
      </c>
      <c r="S33" s="32">
        <v>40</v>
      </c>
      <c r="T33" s="33">
        <v>2.3296000000000001E-2</v>
      </c>
      <c r="U33" s="34">
        <v>5.64E-3</v>
      </c>
      <c r="V33" s="35">
        <v>0.72</v>
      </c>
      <c r="W33" s="16" t="s">
        <v>173</v>
      </c>
      <c r="X33" s="16" t="s">
        <v>174</v>
      </c>
    </row>
    <row r="34" spans="1:24" x14ac:dyDescent="0.3">
      <c r="A34" s="16" t="s">
        <v>237</v>
      </c>
      <c r="B34" s="16" t="s">
        <v>165</v>
      </c>
      <c r="C34" s="16" t="s">
        <v>238</v>
      </c>
      <c r="D34" s="16" t="s">
        <v>239</v>
      </c>
      <c r="E34" s="28">
        <v>4400000000018</v>
      </c>
      <c r="F34" s="16" t="s">
        <v>168</v>
      </c>
      <c r="G34" s="16" t="s">
        <v>220</v>
      </c>
      <c r="H34" s="16" t="s">
        <v>199</v>
      </c>
      <c r="I34" s="16" t="s">
        <v>171</v>
      </c>
      <c r="J34" s="16" t="s">
        <v>221</v>
      </c>
      <c r="K34" s="29">
        <v>2.0539999999999998</v>
      </c>
      <c r="L34" s="16">
        <v>100</v>
      </c>
      <c r="M34" s="30">
        <v>0.06</v>
      </c>
      <c r="N34" s="31">
        <v>12.2</v>
      </c>
      <c r="O34" s="16">
        <v>300</v>
      </c>
      <c r="P34" s="16">
        <v>5000</v>
      </c>
      <c r="Q34" s="32">
        <v>4.2</v>
      </c>
      <c r="R34" s="32">
        <v>5.15</v>
      </c>
      <c r="S34" s="32">
        <v>40</v>
      </c>
      <c r="T34" s="33">
        <v>3.8896E-2</v>
      </c>
      <c r="U34" s="34">
        <v>5.64E-3</v>
      </c>
      <c r="V34" s="35">
        <v>0.72</v>
      </c>
      <c r="W34" s="16" t="s">
        <v>173</v>
      </c>
      <c r="X34" s="16" t="s">
        <v>174</v>
      </c>
    </row>
    <row r="35" spans="1:24" x14ac:dyDescent="0.3">
      <c r="A35" s="16" t="s">
        <v>240</v>
      </c>
      <c r="B35" s="16" t="s">
        <v>165</v>
      </c>
      <c r="C35" s="16" t="s">
        <v>241</v>
      </c>
      <c r="D35" s="16" t="s">
        <v>242</v>
      </c>
      <c r="E35" s="28">
        <v>4400000000019</v>
      </c>
      <c r="F35" s="16" t="s">
        <v>168</v>
      </c>
      <c r="G35" s="16" t="s">
        <v>220</v>
      </c>
      <c r="H35" s="16" t="s">
        <v>199</v>
      </c>
      <c r="I35" s="16" t="s">
        <v>178</v>
      </c>
      <c r="J35" s="16" t="s">
        <v>184</v>
      </c>
      <c r="K35" s="29">
        <v>1.645</v>
      </c>
      <c r="L35" s="16">
        <v>100</v>
      </c>
      <c r="M35" s="30">
        <v>0.06</v>
      </c>
      <c r="N35" s="31">
        <v>12.2</v>
      </c>
      <c r="O35" s="16">
        <v>300</v>
      </c>
      <c r="P35" s="16">
        <v>5000</v>
      </c>
      <c r="Q35" s="32">
        <v>4.2</v>
      </c>
      <c r="R35" s="32">
        <v>5.15</v>
      </c>
      <c r="S35" s="32">
        <v>40</v>
      </c>
      <c r="T35" s="33">
        <v>1.8304000000000001E-2</v>
      </c>
      <c r="U35" s="34">
        <v>5.64E-3</v>
      </c>
      <c r="V35" s="35">
        <v>0.72</v>
      </c>
      <c r="W35" s="16" t="s">
        <v>173</v>
      </c>
      <c r="X35" s="16" t="s">
        <v>174</v>
      </c>
    </row>
    <row r="36" spans="1:24" x14ac:dyDescent="0.3">
      <c r="A36" s="16" t="s">
        <v>243</v>
      </c>
      <c r="B36" s="16" t="s">
        <v>165</v>
      </c>
      <c r="C36" s="16" t="s">
        <v>244</v>
      </c>
      <c r="D36" s="16" t="s">
        <v>245</v>
      </c>
      <c r="E36" s="28">
        <v>4400000000020</v>
      </c>
      <c r="F36" s="16" t="s">
        <v>168</v>
      </c>
      <c r="G36" s="16" t="s">
        <v>220</v>
      </c>
      <c r="H36" s="16" t="s">
        <v>206</v>
      </c>
      <c r="I36" s="16" t="s">
        <v>171</v>
      </c>
      <c r="J36" s="16" t="s">
        <v>172</v>
      </c>
      <c r="K36" s="29">
        <v>1.881</v>
      </c>
      <c r="L36" s="16">
        <v>100</v>
      </c>
      <c r="M36" s="30">
        <v>0.06</v>
      </c>
      <c r="N36" s="31">
        <v>12.2</v>
      </c>
      <c r="O36" s="16">
        <v>300</v>
      </c>
      <c r="P36" s="16">
        <v>5000</v>
      </c>
      <c r="Q36" s="32">
        <v>4.2</v>
      </c>
      <c r="R36" s="32">
        <v>5.15</v>
      </c>
      <c r="S36" s="32">
        <v>40</v>
      </c>
      <c r="T36" s="33">
        <v>2.8288000000000001E-2</v>
      </c>
      <c r="U36" s="34">
        <v>5.64E-3</v>
      </c>
      <c r="V36" s="35">
        <v>0.72</v>
      </c>
      <c r="W36" s="16" t="s">
        <v>173</v>
      </c>
      <c r="X36" s="16" t="s">
        <v>174</v>
      </c>
    </row>
    <row r="37" spans="1:24" x14ac:dyDescent="0.3">
      <c r="A37" s="16" t="s">
        <v>246</v>
      </c>
      <c r="B37" s="16" t="s">
        <v>165</v>
      </c>
      <c r="C37" s="16" t="s">
        <v>247</v>
      </c>
      <c r="D37" s="16" t="s">
        <v>248</v>
      </c>
      <c r="E37" s="28">
        <v>4400000000021</v>
      </c>
      <c r="F37" s="16" t="s">
        <v>168</v>
      </c>
      <c r="G37" s="16" t="s">
        <v>220</v>
      </c>
      <c r="H37" s="16" t="s">
        <v>206</v>
      </c>
      <c r="I37" s="16" t="s">
        <v>178</v>
      </c>
      <c r="J37" s="16" t="s">
        <v>179</v>
      </c>
      <c r="K37" s="29">
        <v>1.645</v>
      </c>
      <c r="L37" s="16">
        <v>100</v>
      </c>
      <c r="M37" s="30">
        <v>0.06</v>
      </c>
      <c r="N37" s="31">
        <v>12.2</v>
      </c>
      <c r="O37" s="16">
        <v>300</v>
      </c>
      <c r="P37" s="16">
        <v>5000</v>
      </c>
      <c r="Q37" s="32">
        <v>4.2</v>
      </c>
      <c r="R37" s="32">
        <v>5.15</v>
      </c>
      <c r="S37" s="32">
        <v>40</v>
      </c>
      <c r="T37" s="33">
        <v>1.3311999999999999E-2</v>
      </c>
      <c r="U37" s="34">
        <v>5.64E-3</v>
      </c>
      <c r="V37" s="35">
        <v>0.72</v>
      </c>
      <c r="W37" s="16" t="s">
        <v>173</v>
      </c>
      <c r="X37" s="16" t="s">
        <v>174</v>
      </c>
    </row>
    <row r="38" spans="1:24" x14ac:dyDescent="0.3">
      <c r="A38" s="16" t="s">
        <v>249</v>
      </c>
      <c r="B38" s="16" t="s">
        <v>165</v>
      </c>
      <c r="C38" s="16" t="s">
        <v>250</v>
      </c>
      <c r="D38" s="16" t="s">
        <v>251</v>
      </c>
      <c r="E38" s="28">
        <v>4400000000022</v>
      </c>
      <c r="F38" s="16" t="s">
        <v>168</v>
      </c>
      <c r="G38" s="16" t="s">
        <v>220</v>
      </c>
      <c r="H38" s="16" t="s">
        <v>213</v>
      </c>
      <c r="I38" s="16" t="s">
        <v>171</v>
      </c>
      <c r="J38" s="16" t="s">
        <v>179</v>
      </c>
      <c r="K38" s="29">
        <v>1.645</v>
      </c>
      <c r="L38" s="16">
        <v>100</v>
      </c>
      <c r="M38" s="30">
        <v>0.06</v>
      </c>
      <c r="N38" s="31">
        <v>12.2</v>
      </c>
      <c r="O38" s="16">
        <v>300</v>
      </c>
      <c r="P38" s="16">
        <v>5000</v>
      </c>
      <c r="Q38" s="32">
        <v>4.2</v>
      </c>
      <c r="R38" s="32">
        <v>5.15</v>
      </c>
      <c r="S38" s="32">
        <v>40</v>
      </c>
      <c r="T38" s="33">
        <v>1.7680000000000001E-2</v>
      </c>
      <c r="U38" s="34">
        <v>5.64E-3</v>
      </c>
      <c r="V38" s="35">
        <v>0.72</v>
      </c>
      <c r="W38" s="16" t="s">
        <v>173</v>
      </c>
      <c r="X38" s="16" t="s">
        <v>174</v>
      </c>
    </row>
    <row r="39" spans="1:24" x14ac:dyDescent="0.3">
      <c r="A39" s="16" t="s">
        <v>252</v>
      </c>
      <c r="B39" s="16" t="s">
        <v>165</v>
      </c>
      <c r="C39" s="16" t="s">
        <v>253</v>
      </c>
      <c r="D39" s="16" t="s">
        <v>254</v>
      </c>
      <c r="E39" s="28">
        <v>4400000000023</v>
      </c>
      <c r="F39" s="16" t="s">
        <v>168</v>
      </c>
      <c r="G39" s="16" t="s">
        <v>220</v>
      </c>
      <c r="H39" s="16" t="s">
        <v>213</v>
      </c>
      <c r="I39" s="16" t="s">
        <v>178</v>
      </c>
      <c r="J39" s="16" t="s">
        <v>188</v>
      </c>
      <c r="K39" s="29">
        <v>1.282</v>
      </c>
      <c r="L39" s="16">
        <v>100</v>
      </c>
      <c r="M39" s="30">
        <v>0.06</v>
      </c>
      <c r="N39" s="31">
        <v>12.2</v>
      </c>
      <c r="O39" s="16">
        <v>300</v>
      </c>
      <c r="P39" s="16">
        <v>5000</v>
      </c>
      <c r="Q39" s="32">
        <v>4.2</v>
      </c>
      <c r="R39" s="32">
        <v>5.15</v>
      </c>
      <c r="S39" s="32">
        <v>40</v>
      </c>
      <c r="T39" s="33">
        <v>8.3199999999999993E-3</v>
      </c>
      <c r="U39" s="34">
        <v>5.64E-3</v>
      </c>
      <c r="V39" s="35">
        <v>0.72</v>
      </c>
      <c r="W39" s="16" t="s">
        <v>173</v>
      </c>
      <c r="X39" s="16" t="s">
        <v>174</v>
      </c>
    </row>
    <row r="40" spans="1:24" x14ac:dyDescent="0.3">
      <c r="A40" s="16" t="s">
        <v>255</v>
      </c>
      <c r="B40" s="16" t="s">
        <v>165</v>
      </c>
      <c r="C40" s="16" t="s">
        <v>256</v>
      </c>
      <c r="D40" s="16" t="s">
        <v>257</v>
      </c>
      <c r="E40" s="28">
        <v>4400000000024</v>
      </c>
      <c r="F40" s="16" t="s">
        <v>168</v>
      </c>
      <c r="G40" s="16" t="s">
        <v>258</v>
      </c>
      <c r="H40" s="16" t="s">
        <v>170</v>
      </c>
      <c r="I40" s="16" t="s">
        <v>171</v>
      </c>
      <c r="J40" s="16" t="s">
        <v>221</v>
      </c>
      <c r="K40" s="29">
        <v>2.0539999999999998</v>
      </c>
      <c r="L40" s="16">
        <v>100</v>
      </c>
      <c r="M40" s="30">
        <v>0.06</v>
      </c>
      <c r="N40" s="31">
        <v>12.2</v>
      </c>
      <c r="O40" s="16">
        <v>300</v>
      </c>
      <c r="P40" s="16">
        <v>5000</v>
      </c>
      <c r="Q40" s="32">
        <v>4.2</v>
      </c>
      <c r="R40" s="32">
        <v>5.15</v>
      </c>
      <c r="S40" s="32">
        <v>40</v>
      </c>
      <c r="T40" s="33">
        <v>9.3023999999999996E-2</v>
      </c>
      <c r="U40" s="34">
        <v>5.64E-3</v>
      </c>
      <c r="V40" s="35">
        <v>0.72</v>
      </c>
      <c r="W40" s="16" t="s">
        <v>173</v>
      </c>
      <c r="X40" s="16" t="s">
        <v>174</v>
      </c>
    </row>
    <row r="41" spans="1:24" x14ac:dyDescent="0.3">
      <c r="A41" s="16" t="s">
        <v>259</v>
      </c>
      <c r="B41" s="16" t="s">
        <v>165</v>
      </c>
      <c r="C41" s="16" t="s">
        <v>260</v>
      </c>
      <c r="D41" s="16" t="s">
        <v>261</v>
      </c>
      <c r="E41" s="28">
        <v>4400000000025</v>
      </c>
      <c r="F41" s="16" t="s">
        <v>168</v>
      </c>
      <c r="G41" s="16" t="s">
        <v>258</v>
      </c>
      <c r="H41" s="16" t="s">
        <v>170</v>
      </c>
      <c r="I41" s="16" t="s">
        <v>178</v>
      </c>
      <c r="J41" s="16" t="s">
        <v>221</v>
      </c>
      <c r="K41" s="29">
        <v>2.0539999999999998</v>
      </c>
      <c r="L41" s="16">
        <v>100</v>
      </c>
      <c r="M41" s="30">
        <v>0.06</v>
      </c>
      <c r="N41" s="31">
        <v>12.2</v>
      </c>
      <c r="O41" s="16">
        <v>300</v>
      </c>
      <c r="P41" s="16">
        <v>5000</v>
      </c>
      <c r="Q41" s="32">
        <v>4.2</v>
      </c>
      <c r="R41" s="32">
        <v>5.15</v>
      </c>
      <c r="S41" s="32">
        <v>40</v>
      </c>
      <c r="T41" s="33">
        <v>4.3776000000000002E-2</v>
      </c>
      <c r="U41" s="34">
        <v>5.64E-3</v>
      </c>
      <c r="V41" s="35">
        <v>0.72</v>
      </c>
      <c r="W41" s="16" t="s">
        <v>173</v>
      </c>
      <c r="X41" s="16" t="s">
        <v>174</v>
      </c>
    </row>
    <row r="42" spans="1:24" x14ac:dyDescent="0.3">
      <c r="A42" s="16" t="s">
        <v>262</v>
      </c>
      <c r="B42" s="16" t="s">
        <v>165</v>
      </c>
      <c r="C42" s="16" t="s">
        <v>263</v>
      </c>
      <c r="D42" s="16" t="s">
        <v>264</v>
      </c>
      <c r="E42" s="28">
        <v>4400000000026</v>
      </c>
      <c r="F42" s="16" t="s">
        <v>168</v>
      </c>
      <c r="G42" s="16" t="s">
        <v>258</v>
      </c>
      <c r="H42" s="16" t="s">
        <v>183</v>
      </c>
      <c r="I42" s="16" t="s">
        <v>171</v>
      </c>
      <c r="J42" s="16" t="s">
        <v>221</v>
      </c>
      <c r="K42" s="29">
        <v>2.0539999999999998</v>
      </c>
      <c r="L42" s="16">
        <v>100</v>
      </c>
      <c r="M42" s="30">
        <v>0.06</v>
      </c>
      <c r="N42" s="31">
        <v>12.2</v>
      </c>
      <c r="O42" s="16">
        <v>300</v>
      </c>
      <c r="P42" s="16">
        <v>5000</v>
      </c>
      <c r="Q42" s="32">
        <v>4.2</v>
      </c>
      <c r="R42" s="32">
        <v>5.15</v>
      </c>
      <c r="S42" s="32">
        <v>40</v>
      </c>
      <c r="T42" s="33">
        <v>5.8751999999999999E-2</v>
      </c>
      <c r="U42" s="34">
        <v>5.64E-3</v>
      </c>
      <c r="V42" s="35">
        <v>0.72</v>
      </c>
      <c r="W42" s="16" t="s">
        <v>173</v>
      </c>
      <c r="X42" s="16" t="s">
        <v>174</v>
      </c>
    </row>
    <row r="43" spans="1:24" x14ac:dyDescent="0.3">
      <c r="A43" s="16" t="s">
        <v>265</v>
      </c>
      <c r="B43" s="16" t="s">
        <v>165</v>
      </c>
      <c r="C43" s="16" t="s">
        <v>266</v>
      </c>
      <c r="D43" s="16" t="s">
        <v>267</v>
      </c>
      <c r="E43" s="28">
        <v>4400000000027</v>
      </c>
      <c r="F43" s="16" t="s">
        <v>168</v>
      </c>
      <c r="G43" s="16" t="s">
        <v>258</v>
      </c>
      <c r="H43" s="16" t="s">
        <v>183</v>
      </c>
      <c r="I43" s="16" t="s">
        <v>178</v>
      </c>
      <c r="J43" s="16" t="s">
        <v>172</v>
      </c>
      <c r="K43" s="29">
        <v>1.881</v>
      </c>
      <c r="L43" s="16">
        <v>100</v>
      </c>
      <c r="M43" s="30">
        <v>0.06</v>
      </c>
      <c r="N43" s="31">
        <v>12.2</v>
      </c>
      <c r="O43" s="16">
        <v>300</v>
      </c>
      <c r="P43" s="16">
        <v>5000</v>
      </c>
      <c r="Q43" s="32">
        <v>4.2</v>
      </c>
      <c r="R43" s="32">
        <v>5.15</v>
      </c>
      <c r="S43" s="32">
        <v>40</v>
      </c>
      <c r="T43" s="33">
        <v>2.7647999999999999E-2</v>
      </c>
      <c r="U43" s="34">
        <v>5.64E-3</v>
      </c>
      <c r="V43" s="35">
        <v>0.72</v>
      </c>
      <c r="W43" s="16" t="s">
        <v>173</v>
      </c>
      <c r="X43" s="16" t="s">
        <v>174</v>
      </c>
    </row>
    <row r="44" spans="1:24" x14ac:dyDescent="0.3">
      <c r="A44" s="16" t="s">
        <v>268</v>
      </c>
      <c r="B44" s="16" t="s">
        <v>165</v>
      </c>
      <c r="C44" s="16" t="s">
        <v>269</v>
      </c>
      <c r="D44" s="16" t="s">
        <v>270</v>
      </c>
      <c r="E44" s="28">
        <v>4400000000028</v>
      </c>
      <c r="F44" s="16" t="s">
        <v>168</v>
      </c>
      <c r="G44" s="16" t="s">
        <v>258</v>
      </c>
      <c r="H44" s="16" t="s">
        <v>192</v>
      </c>
      <c r="I44" s="16" t="s">
        <v>171</v>
      </c>
      <c r="J44" s="16" t="s">
        <v>172</v>
      </c>
      <c r="K44" s="29">
        <v>1.881</v>
      </c>
      <c r="L44" s="16">
        <v>100</v>
      </c>
      <c r="M44" s="30">
        <v>0.06</v>
      </c>
      <c r="N44" s="31">
        <v>12.2</v>
      </c>
      <c r="O44" s="16">
        <v>300</v>
      </c>
      <c r="P44" s="16">
        <v>5000</v>
      </c>
      <c r="Q44" s="32">
        <v>4.2</v>
      </c>
      <c r="R44" s="32">
        <v>5.15</v>
      </c>
      <c r="S44" s="32">
        <v>40</v>
      </c>
      <c r="T44" s="33">
        <v>3.4271999999999997E-2</v>
      </c>
      <c r="U44" s="34">
        <v>5.64E-3</v>
      </c>
      <c r="V44" s="35">
        <v>0.72</v>
      </c>
      <c r="W44" s="16" t="s">
        <v>173</v>
      </c>
      <c r="X44" s="16" t="s">
        <v>174</v>
      </c>
    </row>
    <row r="45" spans="1:24" x14ac:dyDescent="0.3">
      <c r="A45" s="16" t="s">
        <v>271</v>
      </c>
      <c r="B45" s="16" t="s">
        <v>165</v>
      </c>
      <c r="C45" s="16" t="s">
        <v>272</v>
      </c>
      <c r="D45" s="16" t="s">
        <v>273</v>
      </c>
      <c r="E45" s="28">
        <v>4400000000029</v>
      </c>
      <c r="F45" s="16" t="s">
        <v>168</v>
      </c>
      <c r="G45" s="16" t="s">
        <v>258</v>
      </c>
      <c r="H45" s="16" t="s">
        <v>192</v>
      </c>
      <c r="I45" s="16" t="s">
        <v>178</v>
      </c>
      <c r="J45" s="16" t="s">
        <v>179</v>
      </c>
      <c r="K45" s="29">
        <v>1.645</v>
      </c>
      <c r="L45" s="16">
        <v>100</v>
      </c>
      <c r="M45" s="30">
        <v>0.06</v>
      </c>
      <c r="N45" s="31">
        <v>12.2</v>
      </c>
      <c r="O45" s="16">
        <v>300</v>
      </c>
      <c r="P45" s="16">
        <v>5000</v>
      </c>
      <c r="Q45" s="32">
        <v>4.2</v>
      </c>
      <c r="R45" s="32">
        <v>5.15</v>
      </c>
      <c r="S45" s="32">
        <v>40</v>
      </c>
      <c r="T45" s="33">
        <v>1.6128E-2</v>
      </c>
      <c r="U45" s="34">
        <v>5.64E-3</v>
      </c>
      <c r="V45" s="35">
        <v>0.72</v>
      </c>
      <c r="W45" s="16" t="s">
        <v>173</v>
      </c>
      <c r="X45" s="16" t="s">
        <v>174</v>
      </c>
    </row>
    <row r="46" spans="1:24" x14ac:dyDescent="0.3">
      <c r="A46" s="16" t="s">
        <v>274</v>
      </c>
      <c r="B46" s="16" t="s">
        <v>165</v>
      </c>
      <c r="C46" s="16" t="s">
        <v>275</v>
      </c>
      <c r="D46" s="16" t="s">
        <v>276</v>
      </c>
      <c r="E46" s="28">
        <v>4400000000030</v>
      </c>
      <c r="F46" s="16" t="s">
        <v>168</v>
      </c>
      <c r="G46" s="16" t="s">
        <v>258</v>
      </c>
      <c r="H46" s="16" t="s">
        <v>199</v>
      </c>
      <c r="I46" s="16" t="s">
        <v>171</v>
      </c>
      <c r="J46" s="16" t="s">
        <v>172</v>
      </c>
      <c r="K46" s="29">
        <v>1.881</v>
      </c>
      <c r="L46" s="16">
        <v>100</v>
      </c>
      <c r="M46" s="30">
        <v>0.06</v>
      </c>
      <c r="N46" s="31">
        <v>12.2</v>
      </c>
      <c r="O46" s="16">
        <v>300</v>
      </c>
      <c r="P46" s="16">
        <v>5000</v>
      </c>
      <c r="Q46" s="32">
        <v>4.2</v>
      </c>
      <c r="R46" s="32">
        <v>5.15</v>
      </c>
      <c r="S46" s="32">
        <v>40</v>
      </c>
      <c r="T46" s="33">
        <v>2.6928000000000001E-2</v>
      </c>
      <c r="U46" s="34">
        <v>5.64E-3</v>
      </c>
      <c r="V46" s="35">
        <v>0.72</v>
      </c>
      <c r="W46" s="16" t="s">
        <v>173</v>
      </c>
      <c r="X46" s="16" t="s">
        <v>174</v>
      </c>
    </row>
    <row r="47" spans="1:24" x14ac:dyDescent="0.3">
      <c r="A47" s="16" t="s">
        <v>277</v>
      </c>
      <c r="B47" s="16" t="s">
        <v>165</v>
      </c>
      <c r="C47" s="16" t="s">
        <v>278</v>
      </c>
      <c r="D47" s="16" t="s">
        <v>279</v>
      </c>
      <c r="E47" s="28">
        <v>4400000000031</v>
      </c>
      <c r="F47" s="16" t="s">
        <v>168</v>
      </c>
      <c r="G47" s="16" t="s">
        <v>258</v>
      </c>
      <c r="H47" s="16" t="s">
        <v>199</v>
      </c>
      <c r="I47" s="16" t="s">
        <v>178</v>
      </c>
      <c r="J47" s="16" t="s">
        <v>188</v>
      </c>
      <c r="K47" s="29">
        <v>1.282</v>
      </c>
      <c r="L47" s="16">
        <v>100</v>
      </c>
      <c r="M47" s="30">
        <v>0.06</v>
      </c>
      <c r="N47" s="31">
        <v>12.2</v>
      </c>
      <c r="O47" s="16">
        <v>300</v>
      </c>
      <c r="P47" s="16">
        <v>5000</v>
      </c>
      <c r="Q47" s="32">
        <v>4.2</v>
      </c>
      <c r="R47" s="32">
        <v>5.15</v>
      </c>
      <c r="S47" s="32">
        <v>40</v>
      </c>
      <c r="T47" s="33">
        <v>1.2671999999999999E-2</v>
      </c>
      <c r="U47" s="34">
        <v>5.64E-3</v>
      </c>
      <c r="V47" s="35">
        <v>0.72</v>
      </c>
      <c r="W47" s="16" t="s">
        <v>173</v>
      </c>
      <c r="X47" s="16" t="s">
        <v>174</v>
      </c>
    </row>
    <row r="48" spans="1:24" x14ac:dyDescent="0.3">
      <c r="A48" s="16" t="s">
        <v>280</v>
      </c>
      <c r="B48" s="16" t="s">
        <v>165</v>
      </c>
      <c r="C48" s="16" t="s">
        <v>281</v>
      </c>
      <c r="D48" s="16" t="s">
        <v>282</v>
      </c>
      <c r="E48" s="28">
        <v>4400000000032</v>
      </c>
      <c r="F48" s="16" t="s">
        <v>168</v>
      </c>
      <c r="G48" s="16" t="s">
        <v>258</v>
      </c>
      <c r="H48" s="16" t="s">
        <v>206</v>
      </c>
      <c r="I48" s="16" t="s">
        <v>171</v>
      </c>
      <c r="J48" s="16" t="s">
        <v>184</v>
      </c>
      <c r="K48" s="29">
        <v>1.645</v>
      </c>
      <c r="L48" s="16">
        <v>100</v>
      </c>
      <c r="M48" s="30">
        <v>0.06</v>
      </c>
      <c r="N48" s="31">
        <v>12.2</v>
      </c>
      <c r="O48" s="16">
        <v>300</v>
      </c>
      <c r="P48" s="16">
        <v>5000</v>
      </c>
      <c r="Q48" s="32">
        <v>4.2</v>
      </c>
      <c r="R48" s="32">
        <v>5.15</v>
      </c>
      <c r="S48" s="32">
        <v>40</v>
      </c>
      <c r="T48" s="33">
        <v>1.9584000000000001E-2</v>
      </c>
      <c r="U48" s="34">
        <v>5.64E-3</v>
      </c>
      <c r="V48" s="35">
        <v>0.72</v>
      </c>
      <c r="W48" s="16" t="s">
        <v>173</v>
      </c>
      <c r="X48" s="16" t="s">
        <v>174</v>
      </c>
    </row>
    <row r="49" spans="1:24" x14ac:dyDescent="0.3">
      <c r="A49" s="16" t="s">
        <v>283</v>
      </c>
      <c r="B49" s="16" t="s">
        <v>165</v>
      </c>
      <c r="C49" s="16" t="s">
        <v>284</v>
      </c>
      <c r="D49" s="16" t="s">
        <v>285</v>
      </c>
      <c r="E49" s="28">
        <v>4400000000033</v>
      </c>
      <c r="F49" s="16" t="s">
        <v>168</v>
      </c>
      <c r="G49" s="16" t="s">
        <v>258</v>
      </c>
      <c r="H49" s="16" t="s">
        <v>206</v>
      </c>
      <c r="I49" s="16" t="s">
        <v>178</v>
      </c>
      <c r="J49" s="16" t="s">
        <v>188</v>
      </c>
      <c r="K49" s="29">
        <v>1.282</v>
      </c>
      <c r="L49" s="16">
        <v>100</v>
      </c>
      <c r="M49" s="30">
        <v>0.06</v>
      </c>
      <c r="N49" s="31">
        <v>12.2</v>
      </c>
      <c r="O49" s="16">
        <v>300</v>
      </c>
      <c r="P49" s="16">
        <v>5000</v>
      </c>
      <c r="Q49" s="32">
        <v>4.2</v>
      </c>
      <c r="R49" s="32">
        <v>5.15</v>
      </c>
      <c r="S49" s="32">
        <v>40</v>
      </c>
      <c r="T49" s="33">
        <v>9.2160000000000002E-3</v>
      </c>
      <c r="U49" s="34">
        <v>5.64E-3</v>
      </c>
      <c r="V49" s="35">
        <v>0.72</v>
      </c>
      <c r="W49" s="16" t="s">
        <v>173</v>
      </c>
      <c r="X49" s="16" t="s">
        <v>174</v>
      </c>
    </row>
    <row r="50" spans="1:24" x14ac:dyDescent="0.3">
      <c r="A50" s="16" t="s">
        <v>286</v>
      </c>
      <c r="B50" s="16" t="s">
        <v>165</v>
      </c>
      <c r="C50" s="16" t="s">
        <v>287</v>
      </c>
      <c r="D50" s="16" t="s">
        <v>288</v>
      </c>
      <c r="E50" s="28">
        <v>4400000000034</v>
      </c>
      <c r="F50" s="16" t="s">
        <v>168</v>
      </c>
      <c r="G50" s="16" t="s">
        <v>258</v>
      </c>
      <c r="H50" s="16" t="s">
        <v>213</v>
      </c>
      <c r="I50" s="16" t="s">
        <v>171</v>
      </c>
      <c r="J50" s="16" t="s">
        <v>188</v>
      </c>
      <c r="K50" s="29">
        <v>1.282</v>
      </c>
      <c r="L50" s="16">
        <v>100</v>
      </c>
      <c r="M50" s="30">
        <v>0.06</v>
      </c>
      <c r="N50" s="31">
        <v>12.2</v>
      </c>
      <c r="O50" s="16">
        <v>300</v>
      </c>
      <c r="P50" s="16">
        <v>5000</v>
      </c>
      <c r="Q50" s="32">
        <v>4.2</v>
      </c>
      <c r="R50" s="32">
        <v>5.15</v>
      </c>
      <c r="S50" s="32">
        <v>40</v>
      </c>
      <c r="T50" s="33">
        <v>1.2239999999999999E-2</v>
      </c>
      <c r="U50" s="34">
        <v>5.64E-3</v>
      </c>
      <c r="V50" s="35">
        <v>0.72</v>
      </c>
      <c r="W50" s="16" t="s">
        <v>173</v>
      </c>
      <c r="X50" s="16" t="s">
        <v>174</v>
      </c>
    </row>
    <row r="51" spans="1:24" x14ac:dyDescent="0.3">
      <c r="A51" s="16" t="s">
        <v>289</v>
      </c>
      <c r="B51" s="16" t="s">
        <v>165</v>
      </c>
      <c r="C51" s="16" t="s">
        <v>290</v>
      </c>
      <c r="D51" s="16" t="s">
        <v>291</v>
      </c>
      <c r="E51" s="28">
        <v>4400000000035</v>
      </c>
      <c r="F51" s="16" t="s">
        <v>168</v>
      </c>
      <c r="G51" s="16" t="s">
        <v>258</v>
      </c>
      <c r="H51" s="16" t="s">
        <v>213</v>
      </c>
      <c r="I51" s="16" t="s">
        <v>178</v>
      </c>
      <c r="J51" s="16" t="s">
        <v>188</v>
      </c>
      <c r="K51" s="29">
        <v>1.282</v>
      </c>
      <c r="L51" s="16">
        <v>100</v>
      </c>
      <c r="M51" s="30">
        <v>0.06</v>
      </c>
      <c r="N51" s="31">
        <v>12.2</v>
      </c>
      <c r="O51" s="16">
        <v>300</v>
      </c>
      <c r="P51" s="16">
        <v>5000</v>
      </c>
      <c r="Q51" s="32">
        <v>4.2</v>
      </c>
      <c r="R51" s="32">
        <v>5.15</v>
      </c>
      <c r="S51" s="32">
        <v>40</v>
      </c>
      <c r="T51" s="33">
        <v>5.7600000000000004E-3</v>
      </c>
      <c r="U51" s="34">
        <v>5.64E-3</v>
      </c>
      <c r="V51" s="35">
        <v>0.72</v>
      </c>
      <c r="W51" s="16" t="s">
        <v>173</v>
      </c>
      <c r="X51" s="16" t="s">
        <v>174</v>
      </c>
    </row>
    <row r="52" spans="1:24" x14ac:dyDescent="0.3">
      <c r="A52" s="16" t="s">
        <v>292</v>
      </c>
      <c r="B52" s="16" t="s">
        <v>293</v>
      </c>
      <c r="C52" s="16" t="s">
        <v>294</v>
      </c>
      <c r="D52" s="16" t="s">
        <v>295</v>
      </c>
      <c r="E52" s="28">
        <v>4400000000036</v>
      </c>
      <c r="F52" s="16" t="s">
        <v>296</v>
      </c>
      <c r="G52" s="16" t="s">
        <v>169</v>
      </c>
      <c r="H52" s="16" t="s">
        <v>170</v>
      </c>
      <c r="I52" s="16" t="s">
        <v>171</v>
      </c>
      <c r="J52" s="16" t="s">
        <v>172</v>
      </c>
      <c r="K52" s="29">
        <v>1.881</v>
      </c>
      <c r="L52" s="16">
        <v>100</v>
      </c>
      <c r="M52" s="30">
        <v>0.06</v>
      </c>
      <c r="N52" s="31">
        <v>12.2</v>
      </c>
      <c r="O52" s="16">
        <v>300</v>
      </c>
      <c r="P52" s="16">
        <v>5000</v>
      </c>
      <c r="Q52" s="32">
        <v>4.2</v>
      </c>
      <c r="R52" s="32">
        <v>5.15</v>
      </c>
      <c r="S52" s="32">
        <v>40</v>
      </c>
      <c r="T52" s="33">
        <v>3.1008000000000001E-2</v>
      </c>
      <c r="U52" s="34">
        <v>5.64E-3</v>
      </c>
      <c r="V52" s="35">
        <v>0.7</v>
      </c>
      <c r="W52" s="16" t="s">
        <v>173</v>
      </c>
      <c r="X52" s="16" t="s">
        <v>297</v>
      </c>
    </row>
    <row r="53" spans="1:24" x14ac:dyDescent="0.3">
      <c r="A53" s="16" t="s">
        <v>298</v>
      </c>
      <c r="B53" s="16" t="s">
        <v>293</v>
      </c>
      <c r="C53" s="16" t="s">
        <v>299</v>
      </c>
      <c r="D53" s="16" t="s">
        <v>300</v>
      </c>
      <c r="E53" s="28">
        <v>4400000000037</v>
      </c>
      <c r="F53" s="16" t="s">
        <v>296</v>
      </c>
      <c r="G53" s="16" t="s">
        <v>169</v>
      </c>
      <c r="H53" s="16" t="s">
        <v>170</v>
      </c>
      <c r="I53" s="16" t="s">
        <v>178</v>
      </c>
      <c r="J53" s="16" t="s">
        <v>188</v>
      </c>
      <c r="K53" s="29">
        <v>1.282</v>
      </c>
      <c r="L53" s="16">
        <v>100</v>
      </c>
      <c r="M53" s="30">
        <v>0.06</v>
      </c>
      <c r="N53" s="31">
        <v>12.2</v>
      </c>
      <c r="O53" s="16">
        <v>300</v>
      </c>
      <c r="P53" s="16">
        <v>5000</v>
      </c>
      <c r="Q53" s="32">
        <v>4.2</v>
      </c>
      <c r="R53" s="32">
        <v>5.15</v>
      </c>
      <c r="S53" s="32">
        <v>40</v>
      </c>
      <c r="T53" s="33">
        <v>1.4592000000000001E-2</v>
      </c>
      <c r="U53" s="34">
        <v>5.64E-3</v>
      </c>
      <c r="V53" s="35">
        <v>0.7</v>
      </c>
      <c r="W53" s="16" t="s">
        <v>173</v>
      </c>
      <c r="X53" s="16" t="s">
        <v>297</v>
      </c>
    </row>
    <row r="54" spans="1:24" x14ac:dyDescent="0.3">
      <c r="A54" s="16" t="s">
        <v>301</v>
      </c>
      <c r="B54" s="16" t="s">
        <v>293</v>
      </c>
      <c r="C54" s="16" t="s">
        <v>302</v>
      </c>
      <c r="D54" s="16" t="s">
        <v>303</v>
      </c>
      <c r="E54" s="28">
        <v>4400000000038</v>
      </c>
      <c r="F54" s="16" t="s">
        <v>296</v>
      </c>
      <c r="G54" s="16" t="s">
        <v>169</v>
      </c>
      <c r="H54" s="16" t="s">
        <v>183</v>
      </c>
      <c r="I54" s="16" t="s">
        <v>171</v>
      </c>
      <c r="J54" s="16" t="s">
        <v>179</v>
      </c>
      <c r="K54" s="29">
        <v>1.645</v>
      </c>
      <c r="L54" s="16">
        <v>100</v>
      </c>
      <c r="M54" s="30">
        <v>0.06</v>
      </c>
      <c r="N54" s="31">
        <v>12.2</v>
      </c>
      <c r="O54" s="16">
        <v>300</v>
      </c>
      <c r="P54" s="16">
        <v>5000</v>
      </c>
      <c r="Q54" s="32">
        <v>4.2</v>
      </c>
      <c r="R54" s="32">
        <v>5.15</v>
      </c>
      <c r="S54" s="32">
        <v>40</v>
      </c>
      <c r="T54" s="33">
        <v>1.9584000000000001E-2</v>
      </c>
      <c r="U54" s="34">
        <v>5.64E-3</v>
      </c>
      <c r="V54" s="35">
        <v>0.7</v>
      </c>
      <c r="W54" s="16" t="s">
        <v>173</v>
      </c>
      <c r="X54" s="16" t="s">
        <v>297</v>
      </c>
    </row>
    <row r="55" spans="1:24" x14ac:dyDescent="0.3">
      <c r="A55" s="16" t="s">
        <v>304</v>
      </c>
      <c r="B55" s="16" t="s">
        <v>293</v>
      </c>
      <c r="C55" s="16" t="s">
        <v>305</v>
      </c>
      <c r="D55" s="16" t="s">
        <v>306</v>
      </c>
      <c r="E55" s="28">
        <v>4400000000039</v>
      </c>
      <c r="F55" s="16" t="s">
        <v>296</v>
      </c>
      <c r="G55" s="16" t="s">
        <v>169</v>
      </c>
      <c r="H55" s="16" t="s">
        <v>183</v>
      </c>
      <c r="I55" s="16" t="s">
        <v>178</v>
      </c>
      <c r="J55" s="16" t="s">
        <v>188</v>
      </c>
      <c r="K55" s="29">
        <v>1.282</v>
      </c>
      <c r="L55" s="16">
        <v>100</v>
      </c>
      <c r="M55" s="30">
        <v>0.06</v>
      </c>
      <c r="N55" s="31">
        <v>12.2</v>
      </c>
      <c r="O55" s="16">
        <v>300</v>
      </c>
      <c r="P55" s="16">
        <v>5000</v>
      </c>
      <c r="Q55" s="32">
        <v>4.2</v>
      </c>
      <c r="R55" s="32">
        <v>5.15</v>
      </c>
      <c r="S55" s="32">
        <v>40</v>
      </c>
      <c r="T55" s="33">
        <v>9.2160000000000002E-3</v>
      </c>
      <c r="U55" s="34">
        <v>5.64E-3</v>
      </c>
      <c r="V55" s="35">
        <v>0.7</v>
      </c>
      <c r="W55" s="16" t="s">
        <v>173</v>
      </c>
      <c r="X55" s="16" t="s">
        <v>297</v>
      </c>
    </row>
    <row r="56" spans="1:24" x14ac:dyDescent="0.3">
      <c r="A56" s="16" t="s">
        <v>307</v>
      </c>
      <c r="B56" s="16" t="s">
        <v>293</v>
      </c>
      <c r="C56" s="16" t="s">
        <v>308</v>
      </c>
      <c r="D56" s="16" t="s">
        <v>309</v>
      </c>
      <c r="E56" s="28">
        <v>4400000000040</v>
      </c>
      <c r="F56" s="16" t="s">
        <v>296</v>
      </c>
      <c r="G56" s="16" t="s">
        <v>169</v>
      </c>
      <c r="H56" s="16" t="s">
        <v>192</v>
      </c>
      <c r="I56" s="16" t="s">
        <v>171</v>
      </c>
      <c r="J56" s="16" t="s">
        <v>188</v>
      </c>
      <c r="K56" s="29">
        <v>1.282</v>
      </c>
      <c r="L56" s="16">
        <v>100</v>
      </c>
      <c r="M56" s="30">
        <v>0.06</v>
      </c>
      <c r="N56" s="31">
        <v>12.2</v>
      </c>
      <c r="O56" s="16">
        <v>300</v>
      </c>
      <c r="P56" s="16">
        <v>5000</v>
      </c>
      <c r="Q56" s="32">
        <v>4.2</v>
      </c>
      <c r="R56" s="32">
        <v>5.15</v>
      </c>
      <c r="S56" s="32">
        <v>40</v>
      </c>
      <c r="T56" s="33">
        <v>1.1424E-2</v>
      </c>
      <c r="U56" s="34">
        <v>5.64E-3</v>
      </c>
      <c r="V56" s="35">
        <v>0.7</v>
      </c>
      <c r="W56" s="16" t="s">
        <v>173</v>
      </c>
      <c r="X56" s="16" t="s">
        <v>297</v>
      </c>
    </row>
    <row r="57" spans="1:24" x14ac:dyDescent="0.3">
      <c r="A57" s="16" t="s">
        <v>310</v>
      </c>
      <c r="B57" s="16" t="s">
        <v>293</v>
      </c>
      <c r="C57" s="16" t="s">
        <v>311</v>
      </c>
      <c r="D57" s="16" t="s">
        <v>312</v>
      </c>
      <c r="E57" s="28">
        <v>4400000000041</v>
      </c>
      <c r="F57" s="16" t="s">
        <v>296</v>
      </c>
      <c r="G57" s="16" t="s">
        <v>169</v>
      </c>
      <c r="H57" s="16" t="s">
        <v>192</v>
      </c>
      <c r="I57" s="16" t="s">
        <v>178</v>
      </c>
      <c r="J57" s="16" t="s">
        <v>188</v>
      </c>
      <c r="K57" s="29">
        <v>1.282</v>
      </c>
      <c r="L57" s="16">
        <v>100</v>
      </c>
      <c r="M57" s="30">
        <v>0.06</v>
      </c>
      <c r="N57" s="31">
        <v>12.2</v>
      </c>
      <c r="O57" s="16">
        <v>300</v>
      </c>
      <c r="P57" s="16">
        <v>5000</v>
      </c>
      <c r="Q57" s="32">
        <v>4.2</v>
      </c>
      <c r="R57" s="32">
        <v>5.15</v>
      </c>
      <c r="S57" s="32">
        <v>40</v>
      </c>
      <c r="T57" s="33">
        <v>5.3759999999999997E-3</v>
      </c>
      <c r="U57" s="34">
        <v>5.64E-3</v>
      </c>
      <c r="V57" s="35">
        <v>0.7</v>
      </c>
      <c r="W57" s="16" t="s">
        <v>173</v>
      </c>
      <c r="X57" s="16" t="s">
        <v>297</v>
      </c>
    </row>
    <row r="58" spans="1:24" x14ac:dyDescent="0.3">
      <c r="A58" s="16" t="s">
        <v>313</v>
      </c>
      <c r="B58" s="16" t="s">
        <v>293</v>
      </c>
      <c r="C58" s="16" t="s">
        <v>314</v>
      </c>
      <c r="D58" s="16" t="s">
        <v>315</v>
      </c>
      <c r="E58" s="28">
        <v>4400000000042</v>
      </c>
      <c r="F58" s="16" t="s">
        <v>296</v>
      </c>
      <c r="G58" s="16" t="s">
        <v>169</v>
      </c>
      <c r="H58" s="16" t="s">
        <v>199</v>
      </c>
      <c r="I58" s="16" t="s">
        <v>171</v>
      </c>
      <c r="J58" s="16" t="s">
        <v>188</v>
      </c>
      <c r="K58" s="29">
        <v>1.282</v>
      </c>
      <c r="L58" s="16">
        <v>100</v>
      </c>
      <c r="M58" s="30">
        <v>0.06</v>
      </c>
      <c r="N58" s="31">
        <v>12.2</v>
      </c>
      <c r="O58" s="16">
        <v>300</v>
      </c>
      <c r="P58" s="16">
        <v>5000</v>
      </c>
      <c r="Q58" s="32">
        <v>4.2</v>
      </c>
      <c r="R58" s="32">
        <v>5.15</v>
      </c>
      <c r="S58" s="32">
        <v>40</v>
      </c>
      <c r="T58" s="33">
        <v>8.9759999999999996E-3</v>
      </c>
      <c r="U58" s="34">
        <v>5.64E-3</v>
      </c>
      <c r="V58" s="35">
        <v>0.7</v>
      </c>
      <c r="W58" s="16" t="s">
        <v>173</v>
      </c>
      <c r="X58" s="16" t="s">
        <v>297</v>
      </c>
    </row>
    <row r="59" spans="1:24" x14ac:dyDescent="0.3">
      <c r="A59" s="16" t="s">
        <v>316</v>
      </c>
      <c r="B59" s="16" t="s">
        <v>293</v>
      </c>
      <c r="C59" s="16" t="s">
        <v>317</v>
      </c>
      <c r="D59" s="16" t="s">
        <v>318</v>
      </c>
      <c r="E59" s="28">
        <v>4400000000043</v>
      </c>
      <c r="F59" s="16" t="s">
        <v>296</v>
      </c>
      <c r="G59" s="16" t="s">
        <v>169</v>
      </c>
      <c r="H59" s="16" t="s">
        <v>199</v>
      </c>
      <c r="I59" s="16" t="s">
        <v>178</v>
      </c>
      <c r="J59" s="16" t="s">
        <v>188</v>
      </c>
      <c r="K59" s="29">
        <v>1.282</v>
      </c>
      <c r="L59" s="16">
        <v>100</v>
      </c>
      <c r="M59" s="30">
        <v>0.06</v>
      </c>
      <c r="N59" s="31">
        <v>12.2</v>
      </c>
      <c r="O59" s="16">
        <v>300</v>
      </c>
      <c r="P59" s="16">
        <v>5000</v>
      </c>
      <c r="Q59" s="32">
        <v>4.2</v>
      </c>
      <c r="R59" s="32">
        <v>5.15</v>
      </c>
      <c r="S59" s="32">
        <v>40</v>
      </c>
      <c r="T59" s="33">
        <v>4.2240000000000003E-3</v>
      </c>
      <c r="U59" s="34">
        <v>5.64E-3</v>
      </c>
      <c r="V59" s="35">
        <v>0.7</v>
      </c>
      <c r="W59" s="16" t="s">
        <v>173</v>
      </c>
      <c r="X59" s="16" t="s">
        <v>297</v>
      </c>
    </row>
    <row r="60" spans="1:24" x14ac:dyDescent="0.3">
      <c r="A60" s="16" t="s">
        <v>319</v>
      </c>
      <c r="B60" s="16" t="s">
        <v>293</v>
      </c>
      <c r="C60" s="16" t="s">
        <v>320</v>
      </c>
      <c r="D60" s="16" t="s">
        <v>321</v>
      </c>
      <c r="E60" s="28">
        <v>4400000000044</v>
      </c>
      <c r="F60" s="16" t="s">
        <v>296</v>
      </c>
      <c r="G60" s="16" t="s">
        <v>169</v>
      </c>
      <c r="H60" s="16" t="s">
        <v>206</v>
      </c>
      <c r="I60" s="16" t="s">
        <v>171</v>
      </c>
      <c r="J60" s="16" t="s">
        <v>188</v>
      </c>
      <c r="K60" s="29">
        <v>1.282</v>
      </c>
      <c r="L60" s="16">
        <v>100</v>
      </c>
      <c r="M60" s="30">
        <v>0.06</v>
      </c>
      <c r="N60" s="31">
        <v>12.2</v>
      </c>
      <c r="O60" s="16">
        <v>300</v>
      </c>
      <c r="P60" s="16">
        <v>5000</v>
      </c>
      <c r="Q60" s="32">
        <v>4.2</v>
      </c>
      <c r="R60" s="32">
        <v>5.15</v>
      </c>
      <c r="S60" s="32">
        <v>40</v>
      </c>
      <c r="T60" s="33">
        <v>6.5279999999999999E-3</v>
      </c>
      <c r="U60" s="34">
        <v>5.64E-3</v>
      </c>
      <c r="V60" s="35">
        <v>0.7</v>
      </c>
      <c r="W60" s="16" t="s">
        <v>173</v>
      </c>
      <c r="X60" s="16" t="s">
        <v>297</v>
      </c>
    </row>
    <row r="61" spans="1:24" x14ac:dyDescent="0.3">
      <c r="A61" s="16" t="s">
        <v>322</v>
      </c>
      <c r="B61" s="16" t="s">
        <v>293</v>
      </c>
      <c r="C61" s="16" t="s">
        <v>323</v>
      </c>
      <c r="D61" s="16" t="s">
        <v>324</v>
      </c>
      <c r="E61" s="28">
        <v>4400000000045</v>
      </c>
      <c r="F61" s="16" t="s">
        <v>296</v>
      </c>
      <c r="G61" s="16" t="s">
        <v>169</v>
      </c>
      <c r="H61" s="16" t="s">
        <v>206</v>
      </c>
      <c r="I61" s="16" t="s">
        <v>178</v>
      </c>
      <c r="J61" s="16" t="s">
        <v>188</v>
      </c>
      <c r="K61" s="29">
        <v>1.282</v>
      </c>
      <c r="L61" s="16">
        <v>100</v>
      </c>
      <c r="M61" s="30">
        <v>0.06</v>
      </c>
      <c r="N61" s="31">
        <v>12.2</v>
      </c>
      <c r="O61" s="16">
        <v>300</v>
      </c>
      <c r="P61" s="16">
        <v>5000</v>
      </c>
      <c r="Q61" s="32">
        <v>4.2</v>
      </c>
      <c r="R61" s="32">
        <v>5.15</v>
      </c>
      <c r="S61" s="32">
        <v>40</v>
      </c>
      <c r="T61" s="33">
        <v>3.0720000000000001E-3</v>
      </c>
      <c r="U61" s="34">
        <v>5.64E-3</v>
      </c>
      <c r="V61" s="35">
        <v>0.7</v>
      </c>
      <c r="W61" s="16" t="s">
        <v>173</v>
      </c>
      <c r="X61" s="16" t="s">
        <v>297</v>
      </c>
    </row>
    <row r="62" spans="1:24" x14ac:dyDescent="0.3">
      <c r="A62" s="16" t="s">
        <v>325</v>
      </c>
      <c r="B62" s="16" t="s">
        <v>293</v>
      </c>
      <c r="C62" s="16" t="s">
        <v>326</v>
      </c>
      <c r="D62" s="16" t="s">
        <v>327</v>
      </c>
      <c r="E62" s="28">
        <v>4400000000046</v>
      </c>
      <c r="F62" s="16" t="s">
        <v>296</v>
      </c>
      <c r="G62" s="16" t="s">
        <v>169</v>
      </c>
      <c r="H62" s="16" t="s">
        <v>213</v>
      </c>
      <c r="I62" s="16" t="s">
        <v>171</v>
      </c>
      <c r="J62" s="16" t="s">
        <v>188</v>
      </c>
      <c r="K62" s="29">
        <v>1.282</v>
      </c>
      <c r="L62" s="16">
        <v>100</v>
      </c>
      <c r="M62" s="30">
        <v>0.06</v>
      </c>
      <c r="N62" s="31">
        <v>12.2</v>
      </c>
      <c r="O62" s="16">
        <v>300</v>
      </c>
      <c r="P62" s="16">
        <v>5000</v>
      </c>
      <c r="Q62" s="32">
        <v>4.2</v>
      </c>
      <c r="R62" s="32">
        <v>5.15</v>
      </c>
      <c r="S62" s="32">
        <v>40</v>
      </c>
      <c r="T62" s="33">
        <v>4.0800000000000003E-3</v>
      </c>
      <c r="U62" s="34">
        <v>5.64E-3</v>
      </c>
      <c r="V62" s="35">
        <v>0.7</v>
      </c>
      <c r="W62" s="16" t="s">
        <v>173</v>
      </c>
      <c r="X62" s="16" t="s">
        <v>297</v>
      </c>
    </row>
    <row r="63" spans="1:24" x14ac:dyDescent="0.3">
      <c r="A63" s="16" t="s">
        <v>328</v>
      </c>
      <c r="B63" s="16" t="s">
        <v>293</v>
      </c>
      <c r="C63" s="16" t="s">
        <v>329</v>
      </c>
      <c r="D63" s="16" t="s">
        <v>330</v>
      </c>
      <c r="E63" s="28">
        <v>4400000000047</v>
      </c>
      <c r="F63" s="16" t="s">
        <v>296</v>
      </c>
      <c r="G63" s="16" t="s">
        <v>169</v>
      </c>
      <c r="H63" s="16" t="s">
        <v>213</v>
      </c>
      <c r="I63" s="16" t="s">
        <v>178</v>
      </c>
      <c r="J63" s="16" t="s">
        <v>188</v>
      </c>
      <c r="K63" s="29">
        <v>1.282</v>
      </c>
      <c r="L63" s="16">
        <v>100</v>
      </c>
      <c r="M63" s="30">
        <v>0.06</v>
      </c>
      <c r="N63" s="31">
        <v>12.2</v>
      </c>
      <c r="O63" s="16">
        <v>300</v>
      </c>
      <c r="P63" s="16">
        <v>5000</v>
      </c>
      <c r="Q63" s="32">
        <v>4.2</v>
      </c>
      <c r="R63" s="32">
        <v>5.15</v>
      </c>
      <c r="S63" s="32">
        <v>40</v>
      </c>
      <c r="T63" s="33">
        <v>1.92E-3</v>
      </c>
      <c r="U63" s="34">
        <v>5.64E-3</v>
      </c>
      <c r="V63" s="35">
        <v>0.7</v>
      </c>
      <c r="W63" s="16" t="s">
        <v>173</v>
      </c>
      <c r="X63" s="16" t="s">
        <v>297</v>
      </c>
    </row>
    <row r="64" spans="1:24" x14ac:dyDescent="0.3">
      <c r="A64" s="16" t="s">
        <v>331</v>
      </c>
      <c r="B64" s="16" t="s">
        <v>293</v>
      </c>
      <c r="C64" s="16" t="s">
        <v>332</v>
      </c>
      <c r="D64" s="16" t="s">
        <v>333</v>
      </c>
      <c r="E64" s="28">
        <v>4400000000048</v>
      </c>
      <c r="F64" s="16" t="s">
        <v>296</v>
      </c>
      <c r="G64" s="16" t="s">
        <v>220</v>
      </c>
      <c r="H64" s="16" t="s">
        <v>170</v>
      </c>
      <c r="I64" s="16" t="s">
        <v>171</v>
      </c>
      <c r="J64" s="16" t="s">
        <v>221</v>
      </c>
      <c r="K64" s="29">
        <v>2.0539999999999998</v>
      </c>
      <c r="L64" s="16">
        <v>100</v>
      </c>
      <c r="M64" s="30">
        <v>0.06</v>
      </c>
      <c r="N64" s="31">
        <v>12.2</v>
      </c>
      <c r="O64" s="16">
        <v>300</v>
      </c>
      <c r="P64" s="16">
        <v>5000</v>
      </c>
      <c r="Q64" s="32">
        <v>4.2</v>
      </c>
      <c r="R64" s="32">
        <v>5.15</v>
      </c>
      <c r="S64" s="32">
        <v>40</v>
      </c>
      <c r="T64" s="33">
        <v>0.13436799999999999</v>
      </c>
      <c r="U64" s="34">
        <v>5.64E-3</v>
      </c>
      <c r="V64" s="35">
        <v>0.7</v>
      </c>
      <c r="W64" s="16" t="s">
        <v>173</v>
      </c>
      <c r="X64" s="16" t="s">
        <v>297</v>
      </c>
    </row>
    <row r="65" spans="1:24" x14ac:dyDescent="0.3">
      <c r="A65" s="16" t="s">
        <v>334</v>
      </c>
      <c r="B65" s="16" t="s">
        <v>293</v>
      </c>
      <c r="C65" s="16" t="s">
        <v>335</v>
      </c>
      <c r="D65" s="16" t="s">
        <v>336</v>
      </c>
      <c r="E65" s="28">
        <v>4400000000049</v>
      </c>
      <c r="F65" s="16" t="s">
        <v>296</v>
      </c>
      <c r="G65" s="16" t="s">
        <v>220</v>
      </c>
      <c r="H65" s="16" t="s">
        <v>170</v>
      </c>
      <c r="I65" s="16" t="s">
        <v>178</v>
      </c>
      <c r="J65" s="16" t="s">
        <v>221</v>
      </c>
      <c r="K65" s="29">
        <v>2.0539999999999998</v>
      </c>
      <c r="L65" s="16">
        <v>100</v>
      </c>
      <c r="M65" s="30">
        <v>0.06</v>
      </c>
      <c r="N65" s="31">
        <v>12.2</v>
      </c>
      <c r="O65" s="16">
        <v>300</v>
      </c>
      <c r="P65" s="16">
        <v>5000</v>
      </c>
      <c r="Q65" s="32">
        <v>4.2</v>
      </c>
      <c r="R65" s="32">
        <v>5.15</v>
      </c>
      <c r="S65" s="32">
        <v>40</v>
      </c>
      <c r="T65" s="33">
        <v>6.3231999999999997E-2</v>
      </c>
      <c r="U65" s="34">
        <v>5.64E-3</v>
      </c>
      <c r="V65" s="35">
        <v>0.7</v>
      </c>
      <c r="W65" s="16" t="s">
        <v>173</v>
      </c>
      <c r="X65" s="16" t="s">
        <v>297</v>
      </c>
    </row>
    <row r="66" spans="1:24" x14ac:dyDescent="0.3">
      <c r="A66" s="16" t="s">
        <v>337</v>
      </c>
      <c r="B66" s="16" t="s">
        <v>293</v>
      </c>
      <c r="C66" s="16" t="s">
        <v>338</v>
      </c>
      <c r="D66" s="16" t="s">
        <v>339</v>
      </c>
      <c r="E66" s="28">
        <v>4400000000050</v>
      </c>
      <c r="F66" s="16" t="s">
        <v>296</v>
      </c>
      <c r="G66" s="16" t="s">
        <v>220</v>
      </c>
      <c r="H66" s="16" t="s">
        <v>183</v>
      </c>
      <c r="I66" s="16" t="s">
        <v>171</v>
      </c>
      <c r="J66" s="16" t="s">
        <v>221</v>
      </c>
      <c r="K66" s="29">
        <v>2.0539999999999998</v>
      </c>
      <c r="L66" s="16">
        <v>100</v>
      </c>
      <c r="M66" s="30">
        <v>0.06</v>
      </c>
      <c r="N66" s="31">
        <v>12.2</v>
      </c>
      <c r="O66" s="16">
        <v>300</v>
      </c>
      <c r="P66" s="16">
        <v>5000</v>
      </c>
      <c r="Q66" s="32">
        <v>4.2</v>
      </c>
      <c r="R66" s="32">
        <v>5.15</v>
      </c>
      <c r="S66" s="32">
        <v>40</v>
      </c>
      <c r="T66" s="33">
        <v>8.4863999999999995E-2</v>
      </c>
      <c r="U66" s="34">
        <v>5.64E-3</v>
      </c>
      <c r="V66" s="35">
        <v>0.7</v>
      </c>
      <c r="W66" s="16" t="s">
        <v>173</v>
      </c>
      <c r="X66" s="16" t="s">
        <v>297</v>
      </c>
    </row>
    <row r="67" spans="1:24" x14ac:dyDescent="0.3">
      <c r="A67" s="16" t="s">
        <v>340</v>
      </c>
      <c r="B67" s="16" t="s">
        <v>293</v>
      </c>
      <c r="C67" s="16" t="s">
        <v>341</v>
      </c>
      <c r="D67" s="16" t="s">
        <v>342</v>
      </c>
      <c r="E67" s="28">
        <v>4400000000051</v>
      </c>
      <c r="F67" s="16" t="s">
        <v>296</v>
      </c>
      <c r="G67" s="16" t="s">
        <v>220</v>
      </c>
      <c r="H67" s="16" t="s">
        <v>183</v>
      </c>
      <c r="I67" s="16" t="s">
        <v>178</v>
      </c>
      <c r="J67" s="16" t="s">
        <v>172</v>
      </c>
      <c r="K67" s="29">
        <v>1.881</v>
      </c>
      <c r="L67" s="16">
        <v>100</v>
      </c>
      <c r="M67" s="30">
        <v>0.06</v>
      </c>
      <c r="N67" s="31">
        <v>12.2</v>
      </c>
      <c r="O67" s="16">
        <v>300</v>
      </c>
      <c r="P67" s="16">
        <v>5000</v>
      </c>
      <c r="Q67" s="32">
        <v>4.2</v>
      </c>
      <c r="R67" s="32">
        <v>5.15</v>
      </c>
      <c r="S67" s="32">
        <v>40</v>
      </c>
      <c r="T67" s="33">
        <v>3.9935999999999999E-2</v>
      </c>
      <c r="U67" s="34">
        <v>5.64E-3</v>
      </c>
      <c r="V67" s="35">
        <v>0.7</v>
      </c>
      <c r="W67" s="16" t="s">
        <v>173</v>
      </c>
      <c r="X67" s="16" t="s">
        <v>297</v>
      </c>
    </row>
    <row r="68" spans="1:24" x14ac:dyDescent="0.3">
      <c r="A68" s="16" t="s">
        <v>343</v>
      </c>
      <c r="B68" s="16" t="s">
        <v>293</v>
      </c>
      <c r="C68" s="16" t="s">
        <v>344</v>
      </c>
      <c r="D68" s="16" t="s">
        <v>345</v>
      </c>
      <c r="E68" s="28">
        <v>4400000000052</v>
      </c>
      <c r="F68" s="16" t="s">
        <v>296</v>
      </c>
      <c r="G68" s="16" t="s">
        <v>220</v>
      </c>
      <c r="H68" s="16" t="s">
        <v>192</v>
      </c>
      <c r="I68" s="16" t="s">
        <v>171</v>
      </c>
      <c r="J68" s="16" t="s">
        <v>221</v>
      </c>
      <c r="K68" s="29">
        <v>2.0539999999999998</v>
      </c>
      <c r="L68" s="16">
        <v>100</v>
      </c>
      <c r="M68" s="30">
        <v>0.06</v>
      </c>
      <c r="N68" s="31">
        <v>12.2</v>
      </c>
      <c r="O68" s="16">
        <v>300</v>
      </c>
      <c r="P68" s="16">
        <v>5000</v>
      </c>
      <c r="Q68" s="32">
        <v>4.2</v>
      </c>
      <c r="R68" s="32">
        <v>5.15</v>
      </c>
      <c r="S68" s="32">
        <v>40</v>
      </c>
      <c r="T68" s="33">
        <v>4.9503999999999999E-2</v>
      </c>
      <c r="U68" s="34">
        <v>5.64E-3</v>
      </c>
      <c r="V68" s="35">
        <v>0.7</v>
      </c>
      <c r="W68" s="16" t="s">
        <v>173</v>
      </c>
      <c r="X68" s="16" t="s">
        <v>297</v>
      </c>
    </row>
    <row r="69" spans="1:24" x14ac:dyDescent="0.3">
      <c r="A69" s="16" t="s">
        <v>346</v>
      </c>
      <c r="B69" s="16" t="s">
        <v>293</v>
      </c>
      <c r="C69" s="16" t="s">
        <v>347</v>
      </c>
      <c r="D69" s="16" t="s">
        <v>348</v>
      </c>
      <c r="E69" s="28">
        <v>4400000000053</v>
      </c>
      <c r="F69" s="16" t="s">
        <v>296</v>
      </c>
      <c r="G69" s="16" t="s">
        <v>220</v>
      </c>
      <c r="H69" s="16" t="s">
        <v>192</v>
      </c>
      <c r="I69" s="16" t="s">
        <v>178</v>
      </c>
      <c r="J69" s="16" t="s">
        <v>184</v>
      </c>
      <c r="K69" s="29">
        <v>1.645</v>
      </c>
      <c r="L69" s="16">
        <v>100</v>
      </c>
      <c r="M69" s="30">
        <v>0.06</v>
      </c>
      <c r="N69" s="31">
        <v>12.2</v>
      </c>
      <c r="O69" s="16">
        <v>300</v>
      </c>
      <c r="P69" s="16">
        <v>5000</v>
      </c>
      <c r="Q69" s="32">
        <v>4.2</v>
      </c>
      <c r="R69" s="32">
        <v>5.15</v>
      </c>
      <c r="S69" s="32">
        <v>40</v>
      </c>
      <c r="T69" s="33">
        <v>2.3296000000000001E-2</v>
      </c>
      <c r="U69" s="34">
        <v>5.64E-3</v>
      </c>
      <c r="V69" s="35">
        <v>0.7</v>
      </c>
      <c r="W69" s="16" t="s">
        <v>173</v>
      </c>
      <c r="X69" s="16" t="s">
        <v>297</v>
      </c>
    </row>
    <row r="70" spans="1:24" x14ac:dyDescent="0.3">
      <c r="A70" s="16" t="s">
        <v>349</v>
      </c>
      <c r="B70" s="16" t="s">
        <v>293</v>
      </c>
      <c r="C70" s="16" t="s">
        <v>350</v>
      </c>
      <c r="D70" s="16" t="s">
        <v>351</v>
      </c>
      <c r="E70" s="28">
        <v>4400000000054</v>
      </c>
      <c r="F70" s="16" t="s">
        <v>296</v>
      </c>
      <c r="G70" s="16" t="s">
        <v>220</v>
      </c>
      <c r="H70" s="16" t="s">
        <v>199</v>
      </c>
      <c r="I70" s="16" t="s">
        <v>171</v>
      </c>
      <c r="J70" s="16" t="s">
        <v>172</v>
      </c>
      <c r="K70" s="29">
        <v>1.881</v>
      </c>
      <c r="L70" s="16">
        <v>100</v>
      </c>
      <c r="M70" s="30">
        <v>0.06</v>
      </c>
      <c r="N70" s="31">
        <v>12.2</v>
      </c>
      <c r="O70" s="16">
        <v>300</v>
      </c>
      <c r="P70" s="16">
        <v>5000</v>
      </c>
      <c r="Q70" s="32">
        <v>4.2</v>
      </c>
      <c r="R70" s="32">
        <v>5.15</v>
      </c>
      <c r="S70" s="32">
        <v>40</v>
      </c>
      <c r="T70" s="33">
        <v>3.8896E-2</v>
      </c>
      <c r="U70" s="34">
        <v>5.64E-3</v>
      </c>
      <c r="V70" s="35">
        <v>0.7</v>
      </c>
      <c r="W70" s="16" t="s">
        <v>173</v>
      </c>
      <c r="X70" s="16" t="s">
        <v>297</v>
      </c>
    </row>
    <row r="71" spans="1:24" x14ac:dyDescent="0.3">
      <c r="A71" s="16" t="s">
        <v>352</v>
      </c>
      <c r="B71" s="16" t="s">
        <v>293</v>
      </c>
      <c r="C71" s="16" t="s">
        <v>353</v>
      </c>
      <c r="D71" s="16" t="s">
        <v>354</v>
      </c>
      <c r="E71" s="28">
        <v>4400000000055</v>
      </c>
      <c r="F71" s="16" t="s">
        <v>296</v>
      </c>
      <c r="G71" s="16" t="s">
        <v>220</v>
      </c>
      <c r="H71" s="16" t="s">
        <v>199</v>
      </c>
      <c r="I71" s="16" t="s">
        <v>178</v>
      </c>
      <c r="J71" s="16" t="s">
        <v>179</v>
      </c>
      <c r="K71" s="29">
        <v>1.645</v>
      </c>
      <c r="L71" s="16">
        <v>100</v>
      </c>
      <c r="M71" s="30">
        <v>0.06</v>
      </c>
      <c r="N71" s="31">
        <v>12.2</v>
      </c>
      <c r="O71" s="16">
        <v>300</v>
      </c>
      <c r="P71" s="16">
        <v>5000</v>
      </c>
      <c r="Q71" s="32">
        <v>4.2</v>
      </c>
      <c r="R71" s="32">
        <v>5.15</v>
      </c>
      <c r="S71" s="32">
        <v>40</v>
      </c>
      <c r="T71" s="33">
        <v>1.8304000000000001E-2</v>
      </c>
      <c r="U71" s="34">
        <v>5.64E-3</v>
      </c>
      <c r="V71" s="35">
        <v>0.7</v>
      </c>
      <c r="W71" s="16" t="s">
        <v>173</v>
      </c>
      <c r="X71" s="16" t="s">
        <v>297</v>
      </c>
    </row>
    <row r="72" spans="1:24" x14ac:dyDescent="0.3">
      <c r="A72" s="16" t="s">
        <v>355</v>
      </c>
      <c r="B72" s="16" t="s">
        <v>293</v>
      </c>
      <c r="C72" s="16" t="s">
        <v>356</v>
      </c>
      <c r="D72" s="16" t="s">
        <v>357</v>
      </c>
      <c r="E72" s="28">
        <v>4400000000056</v>
      </c>
      <c r="F72" s="16" t="s">
        <v>296</v>
      </c>
      <c r="G72" s="16" t="s">
        <v>220</v>
      </c>
      <c r="H72" s="16" t="s">
        <v>206</v>
      </c>
      <c r="I72" s="16" t="s">
        <v>171</v>
      </c>
      <c r="J72" s="16" t="s">
        <v>184</v>
      </c>
      <c r="K72" s="29">
        <v>1.645</v>
      </c>
      <c r="L72" s="16">
        <v>100</v>
      </c>
      <c r="M72" s="30">
        <v>0.06</v>
      </c>
      <c r="N72" s="31">
        <v>12.2</v>
      </c>
      <c r="O72" s="16">
        <v>300</v>
      </c>
      <c r="P72" s="16">
        <v>5000</v>
      </c>
      <c r="Q72" s="32">
        <v>4.2</v>
      </c>
      <c r="R72" s="32">
        <v>5.15</v>
      </c>
      <c r="S72" s="32">
        <v>40</v>
      </c>
      <c r="T72" s="33">
        <v>2.8288000000000001E-2</v>
      </c>
      <c r="U72" s="34">
        <v>5.64E-3</v>
      </c>
      <c r="V72" s="35">
        <v>0.7</v>
      </c>
      <c r="W72" s="16" t="s">
        <v>173</v>
      </c>
      <c r="X72" s="16" t="s">
        <v>297</v>
      </c>
    </row>
    <row r="73" spans="1:24" x14ac:dyDescent="0.3">
      <c r="A73" s="16" t="s">
        <v>358</v>
      </c>
      <c r="B73" s="16" t="s">
        <v>293</v>
      </c>
      <c r="C73" s="16" t="s">
        <v>359</v>
      </c>
      <c r="D73" s="16" t="s">
        <v>360</v>
      </c>
      <c r="E73" s="28">
        <v>4400000000057</v>
      </c>
      <c r="F73" s="16" t="s">
        <v>296</v>
      </c>
      <c r="G73" s="16" t="s">
        <v>220</v>
      </c>
      <c r="H73" s="16" t="s">
        <v>206</v>
      </c>
      <c r="I73" s="16" t="s">
        <v>178</v>
      </c>
      <c r="J73" s="16" t="s">
        <v>188</v>
      </c>
      <c r="K73" s="29">
        <v>1.282</v>
      </c>
      <c r="L73" s="16">
        <v>100</v>
      </c>
      <c r="M73" s="30">
        <v>0.06</v>
      </c>
      <c r="N73" s="31">
        <v>12.2</v>
      </c>
      <c r="O73" s="16">
        <v>300</v>
      </c>
      <c r="P73" s="16">
        <v>5000</v>
      </c>
      <c r="Q73" s="32">
        <v>4.2</v>
      </c>
      <c r="R73" s="32">
        <v>5.15</v>
      </c>
      <c r="S73" s="32">
        <v>40</v>
      </c>
      <c r="T73" s="33">
        <v>1.3311999999999999E-2</v>
      </c>
      <c r="U73" s="34">
        <v>5.64E-3</v>
      </c>
      <c r="V73" s="35">
        <v>0.7</v>
      </c>
      <c r="W73" s="16" t="s">
        <v>173</v>
      </c>
      <c r="X73" s="16" t="s">
        <v>297</v>
      </c>
    </row>
    <row r="74" spans="1:24" x14ac:dyDescent="0.3">
      <c r="A74" s="16" t="s">
        <v>361</v>
      </c>
      <c r="B74" s="16" t="s">
        <v>293</v>
      </c>
      <c r="C74" s="16" t="s">
        <v>362</v>
      </c>
      <c r="D74" s="16" t="s">
        <v>363</v>
      </c>
      <c r="E74" s="28">
        <v>4400000000058</v>
      </c>
      <c r="F74" s="16" t="s">
        <v>296</v>
      </c>
      <c r="G74" s="16" t="s">
        <v>220</v>
      </c>
      <c r="H74" s="16" t="s">
        <v>213</v>
      </c>
      <c r="I74" s="16" t="s">
        <v>171</v>
      </c>
      <c r="J74" s="16" t="s">
        <v>179</v>
      </c>
      <c r="K74" s="29">
        <v>1.645</v>
      </c>
      <c r="L74" s="16">
        <v>100</v>
      </c>
      <c r="M74" s="30">
        <v>0.06</v>
      </c>
      <c r="N74" s="31">
        <v>12.2</v>
      </c>
      <c r="O74" s="16">
        <v>300</v>
      </c>
      <c r="P74" s="16">
        <v>5000</v>
      </c>
      <c r="Q74" s="32">
        <v>4.2</v>
      </c>
      <c r="R74" s="32">
        <v>5.15</v>
      </c>
      <c r="S74" s="32">
        <v>40</v>
      </c>
      <c r="T74" s="33">
        <v>1.7680000000000001E-2</v>
      </c>
      <c r="U74" s="34">
        <v>5.64E-3</v>
      </c>
      <c r="V74" s="35">
        <v>0.7</v>
      </c>
      <c r="W74" s="16" t="s">
        <v>173</v>
      </c>
      <c r="X74" s="16" t="s">
        <v>297</v>
      </c>
    </row>
    <row r="75" spans="1:24" x14ac:dyDescent="0.3">
      <c r="A75" s="16" t="s">
        <v>364</v>
      </c>
      <c r="B75" s="16" t="s">
        <v>293</v>
      </c>
      <c r="C75" s="16" t="s">
        <v>365</v>
      </c>
      <c r="D75" s="16" t="s">
        <v>366</v>
      </c>
      <c r="E75" s="28">
        <v>4400000000059</v>
      </c>
      <c r="F75" s="16" t="s">
        <v>296</v>
      </c>
      <c r="G75" s="16" t="s">
        <v>220</v>
      </c>
      <c r="H75" s="16" t="s">
        <v>213</v>
      </c>
      <c r="I75" s="16" t="s">
        <v>178</v>
      </c>
      <c r="J75" s="16" t="s">
        <v>188</v>
      </c>
      <c r="K75" s="29">
        <v>1.282</v>
      </c>
      <c r="L75" s="16">
        <v>100</v>
      </c>
      <c r="M75" s="30">
        <v>0.06</v>
      </c>
      <c r="N75" s="31">
        <v>12.2</v>
      </c>
      <c r="O75" s="16">
        <v>300</v>
      </c>
      <c r="P75" s="16">
        <v>5000</v>
      </c>
      <c r="Q75" s="32">
        <v>4.2</v>
      </c>
      <c r="R75" s="32">
        <v>5.15</v>
      </c>
      <c r="S75" s="32">
        <v>40</v>
      </c>
      <c r="T75" s="33">
        <v>8.3199999999999993E-3</v>
      </c>
      <c r="U75" s="34">
        <v>5.64E-3</v>
      </c>
      <c r="V75" s="35">
        <v>0.7</v>
      </c>
      <c r="W75" s="16" t="s">
        <v>173</v>
      </c>
      <c r="X75" s="16" t="s">
        <v>297</v>
      </c>
    </row>
    <row r="76" spans="1:24" x14ac:dyDescent="0.3">
      <c r="A76" s="16" t="s">
        <v>367</v>
      </c>
      <c r="B76" s="16" t="s">
        <v>293</v>
      </c>
      <c r="C76" s="16" t="s">
        <v>368</v>
      </c>
      <c r="D76" s="16" t="s">
        <v>369</v>
      </c>
      <c r="E76" s="28">
        <v>4400000000060</v>
      </c>
      <c r="F76" s="16" t="s">
        <v>296</v>
      </c>
      <c r="G76" s="16" t="s">
        <v>258</v>
      </c>
      <c r="H76" s="16" t="s">
        <v>170</v>
      </c>
      <c r="I76" s="16" t="s">
        <v>171</v>
      </c>
      <c r="J76" s="16" t="s">
        <v>221</v>
      </c>
      <c r="K76" s="29">
        <v>2.0539999999999998</v>
      </c>
      <c r="L76" s="16">
        <v>100</v>
      </c>
      <c r="M76" s="30">
        <v>0.06</v>
      </c>
      <c r="N76" s="31">
        <v>12.2</v>
      </c>
      <c r="O76" s="16">
        <v>300</v>
      </c>
      <c r="P76" s="16">
        <v>5000</v>
      </c>
      <c r="Q76" s="32">
        <v>4.2</v>
      </c>
      <c r="R76" s="32">
        <v>5.15</v>
      </c>
      <c r="S76" s="32">
        <v>40</v>
      </c>
      <c r="T76" s="33">
        <v>9.3023999999999996E-2</v>
      </c>
      <c r="U76" s="34">
        <v>5.64E-3</v>
      </c>
      <c r="V76" s="35">
        <v>0.7</v>
      </c>
      <c r="W76" s="16" t="s">
        <v>173</v>
      </c>
      <c r="X76" s="16" t="s">
        <v>297</v>
      </c>
    </row>
    <row r="77" spans="1:24" x14ac:dyDescent="0.3">
      <c r="A77" s="16" t="s">
        <v>370</v>
      </c>
      <c r="B77" s="16" t="s">
        <v>293</v>
      </c>
      <c r="C77" s="16" t="s">
        <v>371</v>
      </c>
      <c r="D77" s="16" t="s">
        <v>372</v>
      </c>
      <c r="E77" s="28">
        <v>4400000000061</v>
      </c>
      <c r="F77" s="16" t="s">
        <v>296</v>
      </c>
      <c r="G77" s="16" t="s">
        <v>258</v>
      </c>
      <c r="H77" s="16" t="s">
        <v>170</v>
      </c>
      <c r="I77" s="16" t="s">
        <v>178</v>
      </c>
      <c r="J77" s="16" t="s">
        <v>172</v>
      </c>
      <c r="K77" s="29">
        <v>1.881</v>
      </c>
      <c r="L77" s="16">
        <v>100</v>
      </c>
      <c r="M77" s="30">
        <v>0.06</v>
      </c>
      <c r="N77" s="31">
        <v>12.2</v>
      </c>
      <c r="O77" s="16">
        <v>300</v>
      </c>
      <c r="P77" s="16">
        <v>5000</v>
      </c>
      <c r="Q77" s="32">
        <v>4.2</v>
      </c>
      <c r="R77" s="32">
        <v>5.15</v>
      </c>
      <c r="S77" s="32">
        <v>40</v>
      </c>
      <c r="T77" s="33">
        <v>4.3776000000000002E-2</v>
      </c>
      <c r="U77" s="34">
        <v>5.64E-3</v>
      </c>
      <c r="V77" s="35">
        <v>0.7</v>
      </c>
      <c r="W77" s="16" t="s">
        <v>173</v>
      </c>
      <c r="X77" s="16" t="s">
        <v>297</v>
      </c>
    </row>
    <row r="78" spans="1:24" x14ac:dyDescent="0.3">
      <c r="A78" s="16" t="s">
        <v>373</v>
      </c>
      <c r="B78" s="16" t="s">
        <v>293</v>
      </c>
      <c r="C78" s="16" t="s">
        <v>374</v>
      </c>
      <c r="D78" s="16" t="s">
        <v>375</v>
      </c>
      <c r="E78" s="28">
        <v>4400000000062</v>
      </c>
      <c r="F78" s="16" t="s">
        <v>296</v>
      </c>
      <c r="G78" s="16" t="s">
        <v>258</v>
      </c>
      <c r="H78" s="16" t="s">
        <v>183</v>
      </c>
      <c r="I78" s="16" t="s">
        <v>171</v>
      </c>
      <c r="J78" s="16" t="s">
        <v>221</v>
      </c>
      <c r="K78" s="29">
        <v>2.0539999999999998</v>
      </c>
      <c r="L78" s="16">
        <v>100</v>
      </c>
      <c r="M78" s="30">
        <v>0.06</v>
      </c>
      <c r="N78" s="31">
        <v>12.2</v>
      </c>
      <c r="O78" s="16">
        <v>300</v>
      </c>
      <c r="P78" s="16">
        <v>5000</v>
      </c>
      <c r="Q78" s="32">
        <v>4.2</v>
      </c>
      <c r="R78" s="32">
        <v>5.15</v>
      </c>
      <c r="S78" s="32">
        <v>40</v>
      </c>
      <c r="T78" s="33">
        <v>5.8751999999999999E-2</v>
      </c>
      <c r="U78" s="34">
        <v>5.64E-3</v>
      </c>
      <c r="V78" s="35">
        <v>0.7</v>
      </c>
      <c r="W78" s="16" t="s">
        <v>173</v>
      </c>
      <c r="X78" s="16" t="s">
        <v>297</v>
      </c>
    </row>
    <row r="79" spans="1:24" x14ac:dyDescent="0.3">
      <c r="A79" s="16" t="s">
        <v>376</v>
      </c>
      <c r="B79" s="16" t="s">
        <v>293</v>
      </c>
      <c r="C79" s="16" t="s">
        <v>377</v>
      </c>
      <c r="D79" s="16" t="s">
        <v>378</v>
      </c>
      <c r="E79" s="28">
        <v>4400000000063</v>
      </c>
      <c r="F79" s="16" t="s">
        <v>296</v>
      </c>
      <c r="G79" s="16" t="s">
        <v>258</v>
      </c>
      <c r="H79" s="16" t="s">
        <v>183</v>
      </c>
      <c r="I79" s="16" t="s">
        <v>178</v>
      </c>
      <c r="J79" s="16" t="s">
        <v>184</v>
      </c>
      <c r="K79" s="29">
        <v>1.645</v>
      </c>
      <c r="L79" s="16">
        <v>100</v>
      </c>
      <c r="M79" s="30">
        <v>0.06</v>
      </c>
      <c r="N79" s="31">
        <v>12.2</v>
      </c>
      <c r="O79" s="16">
        <v>300</v>
      </c>
      <c r="P79" s="16">
        <v>5000</v>
      </c>
      <c r="Q79" s="32">
        <v>4.2</v>
      </c>
      <c r="R79" s="32">
        <v>5.15</v>
      </c>
      <c r="S79" s="32">
        <v>40</v>
      </c>
      <c r="T79" s="33">
        <v>2.7647999999999999E-2</v>
      </c>
      <c r="U79" s="34">
        <v>5.64E-3</v>
      </c>
      <c r="V79" s="35">
        <v>0.7</v>
      </c>
      <c r="W79" s="16" t="s">
        <v>173</v>
      </c>
      <c r="X79" s="16" t="s">
        <v>297</v>
      </c>
    </row>
    <row r="80" spans="1:24" x14ac:dyDescent="0.3">
      <c r="A80" s="16" t="s">
        <v>379</v>
      </c>
      <c r="B80" s="16" t="s">
        <v>293</v>
      </c>
      <c r="C80" s="16" t="s">
        <v>380</v>
      </c>
      <c r="D80" s="16" t="s">
        <v>381</v>
      </c>
      <c r="E80" s="28">
        <v>4400000000064</v>
      </c>
      <c r="F80" s="16" t="s">
        <v>296</v>
      </c>
      <c r="G80" s="16" t="s">
        <v>258</v>
      </c>
      <c r="H80" s="16" t="s">
        <v>192</v>
      </c>
      <c r="I80" s="16" t="s">
        <v>171</v>
      </c>
      <c r="J80" s="16" t="s">
        <v>172</v>
      </c>
      <c r="K80" s="29">
        <v>1.881</v>
      </c>
      <c r="L80" s="16">
        <v>100</v>
      </c>
      <c r="M80" s="30">
        <v>0.06</v>
      </c>
      <c r="N80" s="31">
        <v>12.2</v>
      </c>
      <c r="O80" s="16">
        <v>300</v>
      </c>
      <c r="P80" s="16">
        <v>5000</v>
      </c>
      <c r="Q80" s="32">
        <v>4.2</v>
      </c>
      <c r="R80" s="32">
        <v>5.15</v>
      </c>
      <c r="S80" s="32">
        <v>40</v>
      </c>
      <c r="T80" s="33">
        <v>3.4271999999999997E-2</v>
      </c>
      <c r="U80" s="34">
        <v>5.64E-3</v>
      </c>
      <c r="V80" s="35">
        <v>0.7</v>
      </c>
      <c r="W80" s="16" t="s">
        <v>173</v>
      </c>
      <c r="X80" s="16" t="s">
        <v>297</v>
      </c>
    </row>
    <row r="81" spans="1:24" x14ac:dyDescent="0.3">
      <c r="A81" s="16" t="s">
        <v>382</v>
      </c>
      <c r="B81" s="16" t="s">
        <v>293</v>
      </c>
      <c r="C81" s="16" t="s">
        <v>383</v>
      </c>
      <c r="D81" s="16" t="s">
        <v>384</v>
      </c>
      <c r="E81" s="28">
        <v>4400000000065</v>
      </c>
      <c r="F81" s="16" t="s">
        <v>296</v>
      </c>
      <c r="G81" s="16" t="s">
        <v>258</v>
      </c>
      <c r="H81" s="16" t="s">
        <v>192</v>
      </c>
      <c r="I81" s="16" t="s">
        <v>178</v>
      </c>
      <c r="J81" s="16" t="s">
        <v>179</v>
      </c>
      <c r="K81" s="29">
        <v>1.645</v>
      </c>
      <c r="L81" s="16">
        <v>100</v>
      </c>
      <c r="M81" s="30">
        <v>0.06</v>
      </c>
      <c r="N81" s="31">
        <v>12.2</v>
      </c>
      <c r="O81" s="16">
        <v>300</v>
      </c>
      <c r="P81" s="16">
        <v>5000</v>
      </c>
      <c r="Q81" s="32">
        <v>4.2</v>
      </c>
      <c r="R81" s="32">
        <v>5.15</v>
      </c>
      <c r="S81" s="32">
        <v>40</v>
      </c>
      <c r="T81" s="33">
        <v>1.6128E-2</v>
      </c>
      <c r="U81" s="34">
        <v>5.64E-3</v>
      </c>
      <c r="V81" s="35">
        <v>0.7</v>
      </c>
      <c r="W81" s="16" t="s">
        <v>173</v>
      </c>
      <c r="X81" s="16" t="s">
        <v>297</v>
      </c>
    </row>
    <row r="82" spans="1:24" x14ac:dyDescent="0.3">
      <c r="A82" s="16" t="s">
        <v>385</v>
      </c>
      <c r="B82" s="16" t="s">
        <v>293</v>
      </c>
      <c r="C82" s="16" t="s">
        <v>386</v>
      </c>
      <c r="D82" s="16" t="s">
        <v>387</v>
      </c>
      <c r="E82" s="28">
        <v>4400000000066</v>
      </c>
      <c r="F82" s="16" t="s">
        <v>296</v>
      </c>
      <c r="G82" s="16" t="s">
        <v>258</v>
      </c>
      <c r="H82" s="16" t="s">
        <v>199</v>
      </c>
      <c r="I82" s="16" t="s">
        <v>171</v>
      </c>
      <c r="J82" s="16" t="s">
        <v>184</v>
      </c>
      <c r="K82" s="29">
        <v>1.645</v>
      </c>
      <c r="L82" s="16">
        <v>100</v>
      </c>
      <c r="M82" s="30">
        <v>0.06</v>
      </c>
      <c r="N82" s="31">
        <v>12.2</v>
      </c>
      <c r="O82" s="16">
        <v>300</v>
      </c>
      <c r="P82" s="16">
        <v>5000</v>
      </c>
      <c r="Q82" s="32">
        <v>4.2</v>
      </c>
      <c r="R82" s="32">
        <v>5.15</v>
      </c>
      <c r="S82" s="32">
        <v>40</v>
      </c>
      <c r="T82" s="33">
        <v>2.6928000000000001E-2</v>
      </c>
      <c r="U82" s="34">
        <v>5.64E-3</v>
      </c>
      <c r="V82" s="35">
        <v>0.7</v>
      </c>
      <c r="W82" s="16" t="s">
        <v>173</v>
      </c>
      <c r="X82" s="16" t="s">
        <v>297</v>
      </c>
    </row>
    <row r="83" spans="1:24" x14ac:dyDescent="0.3">
      <c r="A83" s="16" t="s">
        <v>388</v>
      </c>
      <c r="B83" s="16" t="s">
        <v>293</v>
      </c>
      <c r="C83" s="16" t="s">
        <v>389</v>
      </c>
      <c r="D83" s="16" t="s">
        <v>390</v>
      </c>
      <c r="E83" s="28">
        <v>4400000000067</v>
      </c>
      <c r="F83" s="16" t="s">
        <v>296</v>
      </c>
      <c r="G83" s="16" t="s">
        <v>258</v>
      </c>
      <c r="H83" s="16" t="s">
        <v>199</v>
      </c>
      <c r="I83" s="16" t="s">
        <v>178</v>
      </c>
      <c r="J83" s="16" t="s">
        <v>188</v>
      </c>
      <c r="K83" s="29">
        <v>1.282</v>
      </c>
      <c r="L83" s="16">
        <v>100</v>
      </c>
      <c r="M83" s="30">
        <v>0.06</v>
      </c>
      <c r="N83" s="31">
        <v>12.2</v>
      </c>
      <c r="O83" s="16">
        <v>300</v>
      </c>
      <c r="P83" s="16">
        <v>5000</v>
      </c>
      <c r="Q83" s="32">
        <v>4.2</v>
      </c>
      <c r="R83" s="32">
        <v>5.15</v>
      </c>
      <c r="S83" s="32">
        <v>40</v>
      </c>
      <c r="T83" s="33">
        <v>1.2671999999999999E-2</v>
      </c>
      <c r="U83" s="34">
        <v>5.64E-3</v>
      </c>
      <c r="V83" s="35">
        <v>0.7</v>
      </c>
      <c r="W83" s="16" t="s">
        <v>173</v>
      </c>
      <c r="X83" s="16" t="s">
        <v>297</v>
      </c>
    </row>
    <row r="84" spans="1:24" x14ac:dyDescent="0.3">
      <c r="A84" s="16" t="s">
        <v>391</v>
      </c>
      <c r="B84" s="16" t="s">
        <v>293</v>
      </c>
      <c r="C84" s="16" t="s">
        <v>392</v>
      </c>
      <c r="D84" s="16" t="s">
        <v>393</v>
      </c>
      <c r="E84" s="28">
        <v>4400000000068</v>
      </c>
      <c r="F84" s="16" t="s">
        <v>296</v>
      </c>
      <c r="G84" s="16" t="s">
        <v>258</v>
      </c>
      <c r="H84" s="16" t="s">
        <v>206</v>
      </c>
      <c r="I84" s="16" t="s">
        <v>171</v>
      </c>
      <c r="J84" s="16" t="s">
        <v>179</v>
      </c>
      <c r="K84" s="29">
        <v>1.645</v>
      </c>
      <c r="L84" s="16">
        <v>100</v>
      </c>
      <c r="M84" s="30">
        <v>0.06</v>
      </c>
      <c r="N84" s="31">
        <v>12.2</v>
      </c>
      <c r="O84" s="16">
        <v>300</v>
      </c>
      <c r="P84" s="16">
        <v>5000</v>
      </c>
      <c r="Q84" s="32">
        <v>4.2</v>
      </c>
      <c r="R84" s="32">
        <v>5.15</v>
      </c>
      <c r="S84" s="32">
        <v>40</v>
      </c>
      <c r="T84" s="33">
        <v>1.9584000000000001E-2</v>
      </c>
      <c r="U84" s="34">
        <v>5.64E-3</v>
      </c>
      <c r="V84" s="35">
        <v>0.7</v>
      </c>
      <c r="W84" s="16" t="s">
        <v>173</v>
      </c>
      <c r="X84" s="16" t="s">
        <v>297</v>
      </c>
    </row>
    <row r="85" spans="1:24" x14ac:dyDescent="0.3">
      <c r="A85" s="16" t="s">
        <v>394</v>
      </c>
      <c r="B85" s="16" t="s">
        <v>293</v>
      </c>
      <c r="C85" s="16" t="s">
        <v>395</v>
      </c>
      <c r="D85" s="16" t="s">
        <v>396</v>
      </c>
      <c r="E85" s="28">
        <v>4400000000069</v>
      </c>
      <c r="F85" s="16" t="s">
        <v>296</v>
      </c>
      <c r="G85" s="16" t="s">
        <v>258</v>
      </c>
      <c r="H85" s="16" t="s">
        <v>206</v>
      </c>
      <c r="I85" s="16" t="s">
        <v>178</v>
      </c>
      <c r="J85" s="16" t="s">
        <v>188</v>
      </c>
      <c r="K85" s="29">
        <v>1.282</v>
      </c>
      <c r="L85" s="16">
        <v>100</v>
      </c>
      <c r="M85" s="30">
        <v>0.06</v>
      </c>
      <c r="N85" s="31">
        <v>12.2</v>
      </c>
      <c r="O85" s="16">
        <v>300</v>
      </c>
      <c r="P85" s="16">
        <v>5000</v>
      </c>
      <c r="Q85" s="32">
        <v>4.2</v>
      </c>
      <c r="R85" s="32">
        <v>5.15</v>
      </c>
      <c r="S85" s="32">
        <v>40</v>
      </c>
      <c r="T85" s="33">
        <v>9.2160000000000002E-3</v>
      </c>
      <c r="U85" s="34">
        <v>5.64E-3</v>
      </c>
      <c r="V85" s="35">
        <v>0.7</v>
      </c>
      <c r="W85" s="16" t="s">
        <v>173</v>
      </c>
      <c r="X85" s="16" t="s">
        <v>297</v>
      </c>
    </row>
    <row r="86" spans="1:24" x14ac:dyDescent="0.3">
      <c r="A86" s="16" t="s">
        <v>397</v>
      </c>
      <c r="B86" s="16" t="s">
        <v>293</v>
      </c>
      <c r="C86" s="16" t="s">
        <v>398</v>
      </c>
      <c r="D86" s="16" t="s">
        <v>399</v>
      </c>
      <c r="E86" s="28">
        <v>4400000000070</v>
      </c>
      <c r="F86" s="16" t="s">
        <v>296</v>
      </c>
      <c r="G86" s="16" t="s">
        <v>258</v>
      </c>
      <c r="H86" s="16" t="s">
        <v>213</v>
      </c>
      <c r="I86" s="16" t="s">
        <v>171</v>
      </c>
      <c r="J86" s="16" t="s">
        <v>188</v>
      </c>
      <c r="K86" s="29">
        <v>1.282</v>
      </c>
      <c r="L86" s="16">
        <v>100</v>
      </c>
      <c r="M86" s="30">
        <v>0.06</v>
      </c>
      <c r="N86" s="31">
        <v>12.2</v>
      </c>
      <c r="O86" s="16">
        <v>300</v>
      </c>
      <c r="P86" s="16">
        <v>5000</v>
      </c>
      <c r="Q86" s="32">
        <v>4.2</v>
      </c>
      <c r="R86" s="32">
        <v>5.15</v>
      </c>
      <c r="S86" s="32">
        <v>40</v>
      </c>
      <c r="T86" s="33">
        <v>1.2239999999999999E-2</v>
      </c>
      <c r="U86" s="34">
        <v>5.64E-3</v>
      </c>
      <c r="V86" s="35">
        <v>0.7</v>
      </c>
      <c r="W86" s="16" t="s">
        <v>173</v>
      </c>
      <c r="X86" s="16" t="s">
        <v>297</v>
      </c>
    </row>
    <row r="87" spans="1:24" x14ac:dyDescent="0.3">
      <c r="A87" s="16" t="s">
        <v>400</v>
      </c>
      <c r="B87" s="16" t="s">
        <v>293</v>
      </c>
      <c r="C87" s="16" t="s">
        <v>401</v>
      </c>
      <c r="D87" s="16" t="s">
        <v>402</v>
      </c>
      <c r="E87" s="28">
        <v>4400000000071</v>
      </c>
      <c r="F87" s="16" t="s">
        <v>296</v>
      </c>
      <c r="G87" s="16" t="s">
        <v>258</v>
      </c>
      <c r="H87" s="16" t="s">
        <v>213</v>
      </c>
      <c r="I87" s="16" t="s">
        <v>178</v>
      </c>
      <c r="J87" s="16" t="s">
        <v>188</v>
      </c>
      <c r="K87" s="29">
        <v>1.282</v>
      </c>
      <c r="L87" s="16">
        <v>100</v>
      </c>
      <c r="M87" s="30">
        <v>0.06</v>
      </c>
      <c r="N87" s="31">
        <v>12.2</v>
      </c>
      <c r="O87" s="16">
        <v>300</v>
      </c>
      <c r="P87" s="16">
        <v>5000</v>
      </c>
      <c r="Q87" s="32">
        <v>4.2</v>
      </c>
      <c r="R87" s="32">
        <v>5.15</v>
      </c>
      <c r="S87" s="32">
        <v>40</v>
      </c>
      <c r="T87" s="33">
        <v>5.7600000000000004E-3</v>
      </c>
      <c r="U87" s="34">
        <v>5.64E-3</v>
      </c>
      <c r="V87" s="35">
        <v>0.7</v>
      </c>
      <c r="W87" s="16" t="s">
        <v>173</v>
      </c>
      <c r="X87" s="16" t="s">
        <v>297</v>
      </c>
    </row>
    <row r="88" spans="1:24" x14ac:dyDescent="0.3">
      <c r="A88" s="16" t="s">
        <v>403</v>
      </c>
      <c r="B88" s="16" t="s">
        <v>404</v>
      </c>
      <c r="C88" s="16" t="s">
        <v>405</v>
      </c>
      <c r="D88" s="16" t="s">
        <v>406</v>
      </c>
      <c r="E88" s="28">
        <v>4400000000072</v>
      </c>
      <c r="F88" s="16" t="s">
        <v>407</v>
      </c>
      <c r="G88" s="16" t="s">
        <v>169</v>
      </c>
      <c r="H88" s="16" t="s">
        <v>170</v>
      </c>
      <c r="I88" s="16" t="s">
        <v>171</v>
      </c>
      <c r="J88" s="16" t="s">
        <v>179</v>
      </c>
      <c r="K88" s="29">
        <v>1.645</v>
      </c>
      <c r="L88" s="16">
        <v>50</v>
      </c>
      <c r="M88" s="30">
        <v>0.06</v>
      </c>
      <c r="N88" s="31">
        <v>12.2</v>
      </c>
      <c r="O88" s="16">
        <v>300</v>
      </c>
      <c r="P88" s="16">
        <v>5000</v>
      </c>
      <c r="Q88" s="32">
        <v>4.2</v>
      </c>
      <c r="R88" s="32">
        <v>5.15</v>
      </c>
      <c r="S88" s="32">
        <v>40</v>
      </c>
      <c r="T88" s="33">
        <v>3.1008000000000001E-2</v>
      </c>
      <c r="U88" s="34">
        <v>5.64E-3</v>
      </c>
      <c r="V88" s="35">
        <v>0.62</v>
      </c>
      <c r="W88" s="16" t="s">
        <v>173</v>
      </c>
      <c r="X88" s="16" t="s">
        <v>408</v>
      </c>
    </row>
    <row r="89" spans="1:24" x14ac:dyDescent="0.3">
      <c r="A89" s="16" t="s">
        <v>409</v>
      </c>
      <c r="B89" s="16" t="s">
        <v>404</v>
      </c>
      <c r="C89" s="16" t="s">
        <v>410</v>
      </c>
      <c r="D89" s="16" t="s">
        <v>411</v>
      </c>
      <c r="E89" s="28">
        <v>4400000000073</v>
      </c>
      <c r="F89" s="16" t="s">
        <v>407</v>
      </c>
      <c r="G89" s="16" t="s">
        <v>169</v>
      </c>
      <c r="H89" s="16" t="s">
        <v>170</v>
      </c>
      <c r="I89" s="16" t="s">
        <v>178</v>
      </c>
      <c r="J89" s="16" t="s">
        <v>188</v>
      </c>
      <c r="K89" s="29">
        <v>1.282</v>
      </c>
      <c r="L89" s="16">
        <v>50</v>
      </c>
      <c r="M89" s="30">
        <v>0.06</v>
      </c>
      <c r="N89" s="31">
        <v>12.2</v>
      </c>
      <c r="O89" s="16">
        <v>300</v>
      </c>
      <c r="P89" s="16">
        <v>5000</v>
      </c>
      <c r="Q89" s="32">
        <v>4.2</v>
      </c>
      <c r="R89" s="32">
        <v>5.15</v>
      </c>
      <c r="S89" s="32">
        <v>40</v>
      </c>
      <c r="T89" s="33">
        <v>1.4592000000000001E-2</v>
      </c>
      <c r="U89" s="34">
        <v>5.64E-3</v>
      </c>
      <c r="V89" s="35">
        <v>0.62</v>
      </c>
      <c r="W89" s="16" t="s">
        <v>173</v>
      </c>
      <c r="X89" s="16" t="s">
        <v>408</v>
      </c>
    </row>
    <row r="90" spans="1:24" x14ac:dyDescent="0.3">
      <c r="A90" s="16" t="s">
        <v>412</v>
      </c>
      <c r="B90" s="16" t="s">
        <v>404</v>
      </c>
      <c r="C90" s="16" t="s">
        <v>413</v>
      </c>
      <c r="D90" s="16" t="s">
        <v>414</v>
      </c>
      <c r="E90" s="28">
        <v>4400000000074</v>
      </c>
      <c r="F90" s="16" t="s">
        <v>407</v>
      </c>
      <c r="G90" s="16" t="s">
        <v>169</v>
      </c>
      <c r="H90" s="16" t="s">
        <v>183</v>
      </c>
      <c r="I90" s="16" t="s">
        <v>171</v>
      </c>
      <c r="J90" s="16" t="s">
        <v>188</v>
      </c>
      <c r="K90" s="29">
        <v>1.282</v>
      </c>
      <c r="L90" s="16">
        <v>50</v>
      </c>
      <c r="M90" s="30">
        <v>0.06</v>
      </c>
      <c r="N90" s="31">
        <v>12.2</v>
      </c>
      <c r="O90" s="16">
        <v>300</v>
      </c>
      <c r="P90" s="16">
        <v>5000</v>
      </c>
      <c r="Q90" s="32">
        <v>4.2</v>
      </c>
      <c r="R90" s="32">
        <v>5.15</v>
      </c>
      <c r="S90" s="32">
        <v>40</v>
      </c>
      <c r="T90" s="33">
        <v>1.9584000000000001E-2</v>
      </c>
      <c r="U90" s="34">
        <v>5.64E-3</v>
      </c>
      <c r="V90" s="35">
        <v>0.62</v>
      </c>
      <c r="W90" s="16" t="s">
        <v>173</v>
      </c>
      <c r="X90" s="16" t="s">
        <v>408</v>
      </c>
    </row>
    <row r="91" spans="1:24" x14ac:dyDescent="0.3">
      <c r="A91" s="16" t="s">
        <v>415</v>
      </c>
      <c r="B91" s="16" t="s">
        <v>404</v>
      </c>
      <c r="C91" s="16" t="s">
        <v>416</v>
      </c>
      <c r="D91" s="16" t="s">
        <v>417</v>
      </c>
      <c r="E91" s="28">
        <v>4400000000075</v>
      </c>
      <c r="F91" s="16" t="s">
        <v>407</v>
      </c>
      <c r="G91" s="16" t="s">
        <v>169</v>
      </c>
      <c r="H91" s="16" t="s">
        <v>183</v>
      </c>
      <c r="I91" s="16" t="s">
        <v>178</v>
      </c>
      <c r="J91" s="16" t="s">
        <v>188</v>
      </c>
      <c r="K91" s="29">
        <v>1.282</v>
      </c>
      <c r="L91" s="16">
        <v>50</v>
      </c>
      <c r="M91" s="30">
        <v>0.06</v>
      </c>
      <c r="N91" s="31">
        <v>12.2</v>
      </c>
      <c r="O91" s="16">
        <v>300</v>
      </c>
      <c r="P91" s="16">
        <v>5000</v>
      </c>
      <c r="Q91" s="32">
        <v>4.2</v>
      </c>
      <c r="R91" s="32">
        <v>5.15</v>
      </c>
      <c r="S91" s="32">
        <v>40</v>
      </c>
      <c r="T91" s="33">
        <v>9.2160000000000002E-3</v>
      </c>
      <c r="U91" s="34">
        <v>5.64E-3</v>
      </c>
      <c r="V91" s="35">
        <v>0.62</v>
      </c>
      <c r="W91" s="16" t="s">
        <v>173</v>
      </c>
      <c r="X91" s="16" t="s">
        <v>408</v>
      </c>
    </row>
    <row r="92" spans="1:24" x14ac:dyDescent="0.3">
      <c r="A92" s="16" t="s">
        <v>418</v>
      </c>
      <c r="B92" s="16" t="s">
        <v>404</v>
      </c>
      <c r="C92" s="16" t="s">
        <v>419</v>
      </c>
      <c r="D92" s="16" t="s">
        <v>420</v>
      </c>
      <c r="E92" s="28">
        <v>4400000000076</v>
      </c>
      <c r="F92" s="16" t="s">
        <v>407</v>
      </c>
      <c r="G92" s="16" t="s">
        <v>169</v>
      </c>
      <c r="H92" s="16" t="s">
        <v>192</v>
      </c>
      <c r="I92" s="16" t="s">
        <v>171</v>
      </c>
      <c r="J92" s="16" t="s">
        <v>188</v>
      </c>
      <c r="K92" s="29">
        <v>1.282</v>
      </c>
      <c r="L92" s="16">
        <v>50</v>
      </c>
      <c r="M92" s="30">
        <v>0.06</v>
      </c>
      <c r="N92" s="31">
        <v>12.2</v>
      </c>
      <c r="O92" s="16">
        <v>300</v>
      </c>
      <c r="P92" s="16">
        <v>5000</v>
      </c>
      <c r="Q92" s="32">
        <v>4.2</v>
      </c>
      <c r="R92" s="32">
        <v>5.15</v>
      </c>
      <c r="S92" s="32">
        <v>40</v>
      </c>
      <c r="T92" s="33">
        <v>1.1424E-2</v>
      </c>
      <c r="U92" s="34">
        <v>5.64E-3</v>
      </c>
      <c r="V92" s="35">
        <v>0.62</v>
      </c>
      <c r="W92" s="16" t="s">
        <v>173</v>
      </c>
      <c r="X92" s="16" t="s">
        <v>408</v>
      </c>
    </row>
    <row r="93" spans="1:24" x14ac:dyDescent="0.3">
      <c r="A93" s="16" t="s">
        <v>421</v>
      </c>
      <c r="B93" s="16" t="s">
        <v>404</v>
      </c>
      <c r="C93" s="16" t="s">
        <v>422</v>
      </c>
      <c r="D93" s="16" t="s">
        <v>423</v>
      </c>
      <c r="E93" s="28">
        <v>4400000000077</v>
      </c>
      <c r="F93" s="16" t="s">
        <v>407</v>
      </c>
      <c r="G93" s="16" t="s">
        <v>169</v>
      </c>
      <c r="H93" s="16" t="s">
        <v>192</v>
      </c>
      <c r="I93" s="16" t="s">
        <v>178</v>
      </c>
      <c r="J93" s="16" t="s">
        <v>188</v>
      </c>
      <c r="K93" s="29">
        <v>1.282</v>
      </c>
      <c r="L93" s="16">
        <v>50</v>
      </c>
      <c r="M93" s="30">
        <v>0.06</v>
      </c>
      <c r="N93" s="31">
        <v>12.2</v>
      </c>
      <c r="O93" s="16">
        <v>300</v>
      </c>
      <c r="P93" s="16">
        <v>5000</v>
      </c>
      <c r="Q93" s="32">
        <v>4.2</v>
      </c>
      <c r="R93" s="32">
        <v>5.15</v>
      </c>
      <c r="S93" s="32">
        <v>40</v>
      </c>
      <c r="T93" s="33">
        <v>5.3759999999999997E-3</v>
      </c>
      <c r="U93" s="34">
        <v>5.64E-3</v>
      </c>
      <c r="V93" s="35">
        <v>0.62</v>
      </c>
      <c r="W93" s="16" t="s">
        <v>173</v>
      </c>
      <c r="X93" s="16" t="s">
        <v>408</v>
      </c>
    </row>
    <row r="94" spans="1:24" x14ac:dyDescent="0.3">
      <c r="A94" s="16" t="s">
        <v>424</v>
      </c>
      <c r="B94" s="16" t="s">
        <v>404</v>
      </c>
      <c r="C94" s="16" t="s">
        <v>425</v>
      </c>
      <c r="D94" s="16" t="s">
        <v>426</v>
      </c>
      <c r="E94" s="28">
        <v>4400000000078</v>
      </c>
      <c r="F94" s="16" t="s">
        <v>407</v>
      </c>
      <c r="G94" s="16" t="s">
        <v>169</v>
      </c>
      <c r="H94" s="16" t="s">
        <v>199</v>
      </c>
      <c r="I94" s="16" t="s">
        <v>171</v>
      </c>
      <c r="J94" s="16" t="s">
        <v>188</v>
      </c>
      <c r="K94" s="29">
        <v>1.282</v>
      </c>
      <c r="L94" s="16">
        <v>50</v>
      </c>
      <c r="M94" s="30">
        <v>0.06</v>
      </c>
      <c r="N94" s="31">
        <v>12.2</v>
      </c>
      <c r="O94" s="16">
        <v>300</v>
      </c>
      <c r="P94" s="16">
        <v>5000</v>
      </c>
      <c r="Q94" s="32">
        <v>4.2</v>
      </c>
      <c r="R94" s="32">
        <v>5.15</v>
      </c>
      <c r="S94" s="32">
        <v>40</v>
      </c>
      <c r="T94" s="33">
        <v>8.9759999999999996E-3</v>
      </c>
      <c r="U94" s="34">
        <v>5.64E-3</v>
      </c>
      <c r="V94" s="35">
        <v>0.62</v>
      </c>
      <c r="W94" s="16" t="s">
        <v>173</v>
      </c>
      <c r="X94" s="16" t="s">
        <v>408</v>
      </c>
    </row>
    <row r="95" spans="1:24" x14ac:dyDescent="0.3">
      <c r="A95" s="16" t="s">
        <v>427</v>
      </c>
      <c r="B95" s="16" t="s">
        <v>404</v>
      </c>
      <c r="C95" s="16" t="s">
        <v>428</v>
      </c>
      <c r="D95" s="16" t="s">
        <v>429</v>
      </c>
      <c r="E95" s="28">
        <v>4400000000079</v>
      </c>
      <c r="F95" s="16" t="s">
        <v>407</v>
      </c>
      <c r="G95" s="16" t="s">
        <v>169</v>
      </c>
      <c r="H95" s="16" t="s">
        <v>199</v>
      </c>
      <c r="I95" s="16" t="s">
        <v>178</v>
      </c>
      <c r="J95" s="16" t="s">
        <v>188</v>
      </c>
      <c r="K95" s="29">
        <v>1.282</v>
      </c>
      <c r="L95" s="16">
        <v>50</v>
      </c>
      <c r="M95" s="30">
        <v>0.06</v>
      </c>
      <c r="N95" s="31">
        <v>12.2</v>
      </c>
      <c r="O95" s="16">
        <v>300</v>
      </c>
      <c r="P95" s="16">
        <v>5000</v>
      </c>
      <c r="Q95" s="32">
        <v>4.2</v>
      </c>
      <c r="R95" s="32">
        <v>5.15</v>
      </c>
      <c r="S95" s="32">
        <v>40</v>
      </c>
      <c r="T95" s="33">
        <v>4.2240000000000003E-3</v>
      </c>
      <c r="U95" s="34">
        <v>5.64E-3</v>
      </c>
      <c r="V95" s="35">
        <v>0.62</v>
      </c>
      <c r="W95" s="16" t="s">
        <v>173</v>
      </c>
      <c r="X95" s="16" t="s">
        <v>408</v>
      </c>
    </row>
    <row r="96" spans="1:24" x14ac:dyDescent="0.3">
      <c r="A96" s="16" t="s">
        <v>430</v>
      </c>
      <c r="B96" s="16" t="s">
        <v>404</v>
      </c>
      <c r="C96" s="16" t="s">
        <v>431</v>
      </c>
      <c r="D96" s="16" t="s">
        <v>432</v>
      </c>
      <c r="E96" s="28">
        <v>4400000000080</v>
      </c>
      <c r="F96" s="16" t="s">
        <v>407</v>
      </c>
      <c r="G96" s="16" t="s">
        <v>169</v>
      </c>
      <c r="H96" s="16" t="s">
        <v>206</v>
      </c>
      <c r="I96" s="16" t="s">
        <v>171</v>
      </c>
      <c r="J96" s="16" t="s">
        <v>188</v>
      </c>
      <c r="K96" s="29">
        <v>1.282</v>
      </c>
      <c r="L96" s="16">
        <v>50</v>
      </c>
      <c r="M96" s="30">
        <v>0.06</v>
      </c>
      <c r="N96" s="31">
        <v>12.2</v>
      </c>
      <c r="O96" s="16">
        <v>300</v>
      </c>
      <c r="P96" s="16">
        <v>5000</v>
      </c>
      <c r="Q96" s="32">
        <v>4.2</v>
      </c>
      <c r="R96" s="32">
        <v>5.15</v>
      </c>
      <c r="S96" s="32">
        <v>40</v>
      </c>
      <c r="T96" s="33">
        <v>6.5279999999999999E-3</v>
      </c>
      <c r="U96" s="34">
        <v>5.64E-3</v>
      </c>
      <c r="V96" s="35">
        <v>0.62</v>
      </c>
      <c r="W96" s="16" t="s">
        <v>173</v>
      </c>
      <c r="X96" s="16" t="s">
        <v>408</v>
      </c>
    </row>
    <row r="97" spans="1:24" x14ac:dyDescent="0.3">
      <c r="A97" s="16" t="s">
        <v>433</v>
      </c>
      <c r="B97" s="16" t="s">
        <v>404</v>
      </c>
      <c r="C97" s="16" t="s">
        <v>434</v>
      </c>
      <c r="D97" s="16" t="s">
        <v>435</v>
      </c>
      <c r="E97" s="28">
        <v>4400000000081</v>
      </c>
      <c r="F97" s="16" t="s">
        <v>407</v>
      </c>
      <c r="G97" s="16" t="s">
        <v>169</v>
      </c>
      <c r="H97" s="16" t="s">
        <v>206</v>
      </c>
      <c r="I97" s="16" t="s">
        <v>178</v>
      </c>
      <c r="J97" s="16" t="s">
        <v>188</v>
      </c>
      <c r="K97" s="29">
        <v>1.282</v>
      </c>
      <c r="L97" s="16">
        <v>50</v>
      </c>
      <c r="M97" s="30">
        <v>0.06</v>
      </c>
      <c r="N97" s="31">
        <v>12.2</v>
      </c>
      <c r="O97" s="16">
        <v>300</v>
      </c>
      <c r="P97" s="16">
        <v>5000</v>
      </c>
      <c r="Q97" s="32">
        <v>4.2</v>
      </c>
      <c r="R97" s="32">
        <v>5.15</v>
      </c>
      <c r="S97" s="32">
        <v>40</v>
      </c>
      <c r="T97" s="33">
        <v>3.0720000000000001E-3</v>
      </c>
      <c r="U97" s="34">
        <v>5.64E-3</v>
      </c>
      <c r="V97" s="35">
        <v>0.62</v>
      </c>
      <c r="W97" s="16" t="s">
        <v>173</v>
      </c>
      <c r="X97" s="16" t="s">
        <v>408</v>
      </c>
    </row>
    <row r="98" spans="1:24" x14ac:dyDescent="0.3">
      <c r="A98" s="16" t="s">
        <v>436</v>
      </c>
      <c r="B98" s="16" t="s">
        <v>404</v>
      </c>
      <c r="C98" s="16" t="s">
        <v>437</v>
      </c>
      <c r="D98" s="16" t="s">
        <v>438</v>
      </c>
      <c r="E98" s="28">
        <v>4400000000082</v>
      </c>
      <c r="F98" s="16" t="s">
        <v>407</v>
      </c>
      <c r="G98" s="16" t="s">
        <v>169</v>
      </c>
      <c r="H98" s="16" t="s">
        <v>213</v>
      </c>
      <c r="I98" s="16" t="s">
        <v>171</v>
      </c>
      <c r="J98" s="16" t="s">
        <v>188</v>
      </c>
      <c r="K98" s="29">
        <v>1.282</v>
      </c>
      <c r="L98" s="16">
        <v>50</v>
      </c>
      <c r="M98" s="30">
        <v>0.06</v>
      </c>
      <c r="N98" s="31">
        <v>12.2</v>
      </c>
      <c r="O98" s="16">
        <v>300</v>
      </c>
      <c r="P98" s="16">
        <v>5000</v>
      </c>
      <c r="Q98" s="32">
        <v>4.2</v>
      </c>
      <c r="R98" s="32">
        <v>5.15</v>
      </c>
      <c r="S98" s="32">
        <v>40</v>
      </c>
      <c r="T98" s="33">
        <v>4.0800000000000003E-3</v>
      </c>
      <c r="U98" s="34">
        <v>5.64E-3</v>
      </c>
      <c r="V98" s="35">
        <v>0.62</v>
      </c>
      <c r="W98" s="16" t="s">
        <v>173</v>
      </c>
      <c r="X98" s="16" t="s">
        <v>408</v>
      </c>
    </row>
    <row r="99" spans="1:24" x14ac:dyDescent="0.3">
      <c r="A99" s="16" t="s">
        <v>439</v>
      </c>
      <c r="B99" s="16" t="s">
        <v>404</v>
      </c>
      <c r="C99" s="16" t="s">
        <v>440</v>
      </c>
      <c r="D99" s="16" t="s">
        <v>441</v>
      </c>
      <c r="E99" s="28">
        <v>4400000000083</v>
      </c>
      <c r="F99" s="16" t="s">
        <v>407</v>
      </c>
      <c r="G99" s="16" t="s">
        <v>169</v>
      </c>
      <c r="H99" s="16" t="s">
        <v>213</v>
      </c>
      <c r="I99" s="16" t="s">
        <v>178</v>
      </c>
      <c r="J99" s="16" t="s">
        <v>188</v>
      </c>
      <c r="K99" s="29">
        <v>1.282</v>
      </c>
      <c r="L99" s="16">
        <v>50</v>
      </c>
      <c r="M99" s="30">
        <v>0.06</v>
      </c>
      <c r="N99" s="31">
        <v>12.2</v>
      </c>
      <c r="O99" s="16">
        <v>300</v>
      </c>
      <c r="P99" s="16">
        <v>5000</v>
      </c>
      <c r="Q99" s="32">
        <v>4.2</v>
      </c>
      <c r="R99" s="32">
        <v>5.15</v>
      </c>
      <c r="S99" s="32">
        <v>40</v>
      </c>
      <c r="T99" s="33">
        <v>1.92E-3</v>
      </c>
      <c r="U99" s="34">
        <v>5.64E-3</v>
      </c>
      <c r="V99" s="35">
        <v>0.62</v>
      </c>
      <c r="W99" s="16" t="s">
        <v>173</v>
      </c>
      <c r="X99" s="16" t="s">
        <v>408</v>
      </c>
    </row>
    <row r="100" spans="1:24" x14ac:dyDescent="0.3">
      <c r="A100" s="16" t="s">
        <v>442</v>
      </c>
      <c r="B100" s="16" t="s">
        <v>404</v>
      </c>
      <c r="C100" s="16" t="s">
        <v>443</v>
      </c>
      <c r="D100" s="16" t="s">
        <v>444</v>
      </c>
      <c r="E100" s="28">
        <v>4400000000084</v>
      </c>
      <c r="F100" s="16" t="s">
        <v>407</v>
      </c>
      <c r="G100" s="16" t="s">
        <v>220</v>
      </c>
      <c r="H100" s="16" t="s">
        <v>170</v>
      </c>
      <c r="I100" s="16" t="s">
        <v>171</v>
      </c>
      <c r="J100" s="16" t="s">
        <v>221</v>
      </c>
      <c r="K100" s="29">
        <v>2.0539999999999998</v>
      </c>
      <c r="L100" s="16">
        <v>50</v>
      </c>
      <c r="M100" s="30">
        <v>0.06</v>
      </c>
      <c r="N100" s="31">
        <v>12.2</v>
      </c>
      <c r="O100" s="16">
        <v>300</v>
      </c>
      <c r="P100" s="16">
        <v>5000</v>
      </c>
      <c r="Q100" s="32">
        <v>4.2</v>
      </c>
      <c r="R100" s="32">
        <v>5.15</v>
      </c>
      <c r="S100" s="32">
        <v>40</v>
      </c>
      <c r="T100" s="33">
        <v>0.13436799999999999</v>
      </c>
      <c r="U100" s="34">
        <v>5.64E-3</v>
      </c>
      <c r="V100" s="35">
        <v>0.62</v>
      </c>
      <c r="W100" s="16" t="s">
        <v>173</v>
      </c>
      <c r="X100" s="16" t="s">
        <v>408</v>
      </c>
    </row>
    <row r="101" spans="1:24" x14ac:dyDescent="0.3">
      <c r="A101" s="16" t="s">
        <v>445</v>
      </c>
      <c r="B101" s="16" t="s">
        <v>404</v>
      </c>
      <c r="C101" s="16" t="s">
        <v>446</v>
      </c>
      <c r="D101" s="16" t="s">
        <v>447</v>
      </c>
      <c r="E101" s="28">
        <v>4400000000085</v>
      </c>
      <c r="F101" s="16" t="s">
        <v>407</v>
      </c>
      <c r="G101" s="16" t="s">
        <v>220</v>
      </c>
      <c r="H101" s="16" t="s">
        <v>170</v>
      </c>
      <c r="I101" s="16" t="s">
        <v>178</v>
      </c>
      <c r="J101" s="16" t="s">
        <v>172</v>
      </c>
      <c r="K101" s="29">
        <v>1.881</v>
      </c>
      <c r="L101" s="16">
        <v>50</v>
      </c>
      <c r="M101" s="30">
        <v>0.06</v>
      </c>
      <c r="N101" s="31">
        <v>12.2</v>
      </c>
      <c r="O101" s="16">
        <v>300</v>
      </c>
      <c r="P101" s="16">
        <v>5000</v>
      </c>
      <c r="Q101" s="32">
        <v>4.2</v>
      </c>
      <c r="R101" s="32">
        <v>5.15</v>
      </c>
      <c r="S101" s="32">
        <v>40</v>
      </c>
      <c r="T101" s="33">
        <v>6.3231999999999997E-2</v>
      </c>
      <c r="U101" s="34">
        <v>5.64E-3</v>
      </c>
      <c r="V101" s="35">
        <v>0.62</v>
      </c>
      <c r="W101" s="16" t="s">
        <v>173</v>
      </c>
      <c r="X101" s="16" t="s">
        <v>408</v>
      </c>
    </row>
    <row r="102" spans="1:24" x14ac:dyDescent="0.3">
      <c r="A102" s="16" t="s">
        <v>448</v>
      </c>
      <c r="B102" s="16" t="s">
        <v>404</v>
      </c>
      <c r="C102" s="16" t="s">
        <v>449</v>
      </c>
      <c r="D102" s="16" t="s">
        <v>450</v>
      </c>
      <c r="E102" s="28">
        <v>4400000000086</v>
      </c>
      <c r="F102" s="16" t="s">
        <v>407</v>
      </c>
      <c r="G102" s="16" t="s">
        <v>220</v>
      </c>
      <c r="H102" s="16" t="s">
        <v>183</v>
      </c>
      <c r="I102" s="16" t="s">
        <v>171</v>
      </c>
      <c r="J102" s="16" t="s">
        <v>221</v>
      </c>
      <c r="K102" s="29">
        <v>2.0539999999999998</v>
      </c>
      <c r="L102" s="16">
        <v>50</v>
      </c>
      <c r="M102" s="30">
        <v>0.06</v>
      </c>
      <c r="N102" s="31">
        <v>12.2</v>
      </c>
      <c r="O102" s="16">
        <v>300</v>
      </c>
      <c r="P102" s="16">
        <v>5000</v>
      </c>
      <c r="Q102" s="32">
        <v>4.2</v>
      </c>
      <c r="R102" s="32">
        <v>5.15</v>
      </c>
      <c r="S102" s="32">
        <v>40</v>
      </c>
      <c r="T102" s="33">
        <v>8.4863999999999995E-2</v>
      </c>
      <c r="U102" s="34">
        <v>5.64E-3</v>
      </c>
      <c r="V102" s="35">
        <v>0.62</v>
      </c>
      <c r="W102" s="16" t="s">
        <v>173</v>
      </c>
      <c r="X102" s="16" t="s">
        <v>408</v>
      </c>
    </row>
    <row r="103" spans="1:24" x14ac:dyDescent="0.3">
      <c r="A103" s="16" t="s">
        <v>451</v>
      </c>
      <c r="B103" s="16" t="s">
        <v>404</v>
      </c>
      <c r="C103" s="16" t="s">
        <v>452</v>
      </c>
      <c r="D103" s="16" t="s">
        <v>453</v>
      </c>
      <c r="E103" s="28">
        <v>4400000000087</v>
      </c>
      <c r="F103" s="16" t="s">
        <v>407</v>
      </c>
      <c r="G103" s="16" t="s">
        <v>220</v>
      </c>
      <c r="H103" s="16" t="s">
        <v>183</v>
      </c>
      <c r="I103" s="16" t="s">
        <v>178</v>
      </c>
      <c r="J103" s="16" t="s">
        <v>184</v>
      </c>
      <c r="K103" s="29">
        <v>1.645</v>
      </c>
      <c r="L103" s="16">
        <v>50</v>
      </c>
      <c r="M103" s="30">
        <v>0.06</v>
      </c>
      <c r="N103" s="31">
        <v>12.2</v>
      </c>
      <c r="O103" s="16">
        <v>300</v>
      </c>
      <c r="P103" s="16">
        <v>5000</v>
      </c>
      <c r="Q103" s="32">
        <v>4.2</v>
      </c>
      <c r="R103" s="32">
        <v>5.15</v>
      </c>
      <c r="S103" s="32">
        <v>40</v>
      </c>
      <c r="T103" s="33">
        <v>3.9935999999999999E-2</v>
      </c>
      <c r="U103" s="34">
        <v>5.64E-3</v>
      </c>
      <c r="V103" s="35">
        <v>0.62</v>
      </c>
      <c r="W103" s="16" t="s">
        <v>173</v>
      </c>
      <c r="X103" s="16" t="s">
        <v>408</v>
      </c>
    </row>
    <row r="104" spans="1:24" x14ac:dyDescent="0.3">
      <c r="A104" s="16" t="s">
        <v>454</v>
      </c>
      <c r="B104" s="16" t="s">
        <v>404</v>
      </c>
      <c r="C104" s="16" t="s">
        <v>455</v>
      </c>
      <c r="D104" s="16" t="s">
        <v>456</v>
      </c>
      <c r="E104" s="28">
        <v>4400000000088</v>
      </c>
      <c r="F104" s="16" t="s">
        <v>407</v>
      </c>
      <c r="G104" s="16" t="s">
        <v>220</v>
      </c>
      <c r="H104" s="16" t="s">
        <v>192</v>
      </c>
      <c r="I104" s="16" t="s">
        <v>171</v>
      </c>
      <c r="J104" s="16" t="s">
        <v>184</v>
      </c>
      <c r="K104" s="29">
        <v>1.645</v>
      </c>
      <c r="L104" s="16">
        <v>50</v>
      </c>
      <c r="M104" s="30">
        <v>0.06</v>
      </c>
      <c r="N104" s="31">
        <v>12.2</v>
      </c>
      <c r="O104" s="16">
        <v>300</v>
      </c>
      <c r="P104" s="16">
        <v>5000</v>
      </c>
      <c r="Q104" s="32">
        <v>4.2</v>
      </c>
      <c r="R104" s="32">
        <v>5.15</v>
      </c>
      <c r="S104" s="32">
        <v>40</v>
      </c>
      <c r="T104" s="33">
        <v>4.9503999999999999E-2</v>
      </c>
      <c r="U104" s="34">
        <v>5.64E-3</v>
      </c>
      <c r="V104" s="35">
        <v>0.62</v>
      </c>
      <c r="W104" s="16" t="s">
        <v>173</v>
      </c>
      <c r="X104" s="16" t="s">
        <v>408</v>
      </c>
    </row>
    <row r="105" spans="1:24" x14ac:dyDescent="0.3">
      <c r="A105" s="16" t="s">
        <v>457</v>
      </c>
      <c r="B105" s="16" t="s">
        <v>404</v>
      </c>
      <c r="C105" s="16" t="s">
        <v>458</v>
      </c>
      <c r="D105" s="16" t="s">
        <v>459</v>
      </c>
      <c r="E105" s="28">
        <v>4400000000089</v>
      </c>
      <c r="F105" s="16" t="s">
        <v>407</v>
      </c>
      <c r="G105" s="16" t="s">
        <v>220</v>
      </c>
      <c r="H105" s="16" t="s">
        <v>192</v>
      </c>
      <c r="I105" s="16" t="s">
        <v>178</v>
      </c>
      <c r="J105" s="16" t="s">
        <v>188</v>
      </c>
      <c r="K105" s="29">
        <v>1.282</v>
      </c>
      <c r="L105" s="16">
        <v>50</v>
      </c>
      <c r="M105" s="30">
        <v>0.06</v>
      </c>
      <c r="N105" s="31">
        <v>12.2</v>
      </c>
      <c r="O105" s="16">
        <v>300</v>
      </c>
      <c r="P105" s="16">
        <v>5000</v>
      </c>
      <c r="Q105" s="32">
        <v>4.2</v>
      </c>
      <c r="R105" s="32">
        <v>5.15</v>
      </c>
      <c r="S105" s="32">
        <v>40</v>
      </c>
      <c r="T105" s="33">
        <v>2.3296000000000001E-2</v>
      </c>
      <c r="U105" s="34">
        <v>5.64E-3</v>
      </c>
      <c r="V105" s="35">
        <v>0.62</v>
      </c>
      <c r="W105" s="16" t="s">
        <v>173</v>
      </c>
      <c r="X105" s="16" t="s">
        <v>408</v>
      </c>
    </row>
    <row r="106" spans="1:24" x14ac:dyDescent="0.3">
      <c r="A106" s="16" t="s">
        <v>460</v>
      </c>
      <c r="B106" s="16" t="s">
        <v>404</v>
      </c>
      <c r="C106" s="16" t="s">
        <v>461</v>
      </c>
      <c r="D106" s="16" t="s">
        <v>462</v>
      </c>
      <c r="E106" s="28">
        <v>4400000000090</v>
      </c>
      <c r="F106" s="16" t="s">
        <v>407</v>
      </c>
      <c r="G106" s="16" t="s">
        <v>220</v>
      </c>
      <c r="H106" s="16" t="s">
        <v>199</v>
      </c>
      <c r="I106" s="16" t="s">
        <v>171</v>
      </c>
      <c r="J106" s="16" t="s">
        <v>179</v>
      </c>
      <c r="K106" s="29">
        <v>1.645</v>
      </c>
      <c r="L106" s="16">
        <v>50</v>
      </c>
      <c r="M106" s="30">
        <v>0.06</v>
      </c>
      <c r="N106" s="31">
        <v>12.2</v>
      </c>
      <c r="O106" s="16">
        <v>300</v>
      </c>
      <c r="P106" s="16">
        <v>5000</v>
      </c>
      <c r="Q106" s="32">
        <v>4.2</v>
      </c>
      <c r="R106" s="32">
        <v>5.15</v>
      </c>
      <c r="S106" s="32">
        <v>40</v>
      </c>
      <c r="T106" s="33">
        <v>3.8896E-2</v>
      </c>
      <c r="U106" s="34">
        <v>5.64E-3</v>
      </c>
      <c r="V106" s="35">
        <v>0.62</v>
      </c>
      <c r="W106" s="16" t="s">
        <v>173</v>
      </c>
      <c r="X106" s="16" t="s">
        <v>408</v>
      </c>
    </row>
    <row r="107" spans="1:24" x14ac:dyDescent="0.3">
      <c r="A107" s="16" t="s">
        <v>463</v>
      </c>
      <c r="B107" s="16" t="s">
        <v>404</v>
      </c>
      <c r="C107" s="16" t="s">
        <v>464</v>
      </c>
      <c r="D107" s="16" t="s">
        <v>465</v>
      </c>
      <c r="E107" s="28">
        <v>4400000000091</v>
      </c>
      <c r="F107" s="16" t="s">
        <v>407</v>
      </c>
      <c r="G107" s="16" t="s">
        <v>220</v>
      </c>
      <c r="H107" s="16" t="s">
        <v>199</v>
      </c>
      <c r="I107" s="16" t="s">
        <v>178</v>
      </c>
      <c r="J107" s="16" t="s">
        <v>188</v>
      </c>
      <c r="K107" s="29">
        <v>1.282</v>
      </c>
      <c r="L107" s="16">
        <v>50</v>
      </c>
      <c r="M107" s="30">
        <v>0.06</v>
      </c>
      <c r="N107" s="31">
        <v>12.2</v>
      </c>
      <c r="O107" s="16">
        <v>300</v>
      </c>
      <c r="P107" s="16">
        <v>5000</v>
      </c>
      <c r="Q107" s="32">
        <v>4.2</v>
      </c>
      <c r="R107" s="32">
        <v>5.15</v>
      </c>
      <c r="S107" s="32">
        <v>40</v>
      </c>
      <c r="T107" s="33">
        <v>1.8304000000000001E-2</v>
      </c>
      <c r="U107" s="34">
        <v>5.64E-3</v>
      </c>
      <c r="V107" s="35">
        <v>0.62</v>
      </c>
      <c r="W107" s="16" t="s">
        <v>173</v>
      </c>
      <c r="X107" s="16" t="s">
        <v>408</v>
      </c>
    </row>
    <row r="108" spans="1:24" x14ac:dyDescent="0.3">
      <c r="A108" s="16" t="s">
        <v>466</v>
      </c>
      <c r="B108" s="16" t="s">
        <v>404</v>
      </c>
      <c r="C108" s="16" t="s">
        <v>467</v>
      </c>
      <c r="D108" s="16" t="s">
        <v>468</v>
      </c>
      <c r="E108" s="28">
        <v>4400000000092</v>
      </c>
      <c r="F108" s="16" t="s">
        <v>407</v>
      </c>
      <c r="G108" s="16" t="s">
        <v>220</v>
      </c>
      <c r="H108" s="16" t="s">
        <v>206</v>
      </c>
      <c r="I108" s="16" t="s">
        <v>171</v>
      </c>
      <c r="J108" s="16" t="s">
        <v>179</v>
      </c>
      <c r="K108" s="29">
        <v>1.645</v>
      </c>
      <c r="L108" s="16">
        <v>50</v>
      </c>
      <c r="M108" s="30">
        <v>0.06</v>
      </c>
      <c r="N108" s="31">
        <v>12.2</v>
      </c>
      <c r="O108" s="16">
        <v>300</v>
      </c>
      <c r="P108" s="16">
        <v>5000</v>
      </c>
      <c r="Q108" s="32">
        <v>4.2</v>
      </c>
      <c r="R108" s="32">
        <v>5.15</v>
      </c>
      <c r="S108" s="32">
        <v>40</v>
      </c>
      <c r="T108" s="33">
        <v>2.8288000000000001E-2</v>
      </c>
      <c r="U108" s="34">
        <v>5.64E-3</v>
      </c>
      <c r="V108" s="35">
        <v>0.62</v>
      </c>
      <c r="W108" s="16" t="s">
        <v>173</v>
      </c>
      <c r="X108" s="16" t="s">
        <v>408</v>
      </c>
    </row>
    <row r="109" spans="1:24" x14ac:dyDescent="0.3">
      <c r="A109" s="16" t="s">
        <v>469</v>
      </c>
      <c r="B109" s="16" t="s">
        <v>404</v>
      </c>
      <c r="C109" s="16" t="s">
        <v>470</v>
      </c>
      <c r="D109" s="16" t="s">
        <v>471</v>
      </c>
      <c r="E109" s="28">
        <v>4400000000093</v>
      </c>
      <c r="F109" s="16" t="s">
        <v>407</v>
      </c>
      <c r="G109" s="16" t="s">
        <v>220</v>
      </c>
      <c r="H109" s="16" t="s">
        <v>206</v>
      </c>
      <c r="I109" s="16" t="s">
        <v>178</v>
      </c>
      <c r="J109" s="16" t="s">
        <v>188</v>
      </c>
      <c r="K109" s="29">
        <v>1.282</v>
      </c>
      <c r="L109" s="16">
        <v>50</v>
      </c>
      <c r="M109" s="30">
        <v>0.06</v>
      </c>
      <c r="N109" s="31">
        <v>12.2</v>
      </c>
      <c r="O109" s="16">
        <v>300</v>
      </c>
      <c r="P109" s="16">
        <v>5000</v>
      </c>
      <c r="Q109" s="32">
        <v>4.2</v>
      </c>
      <c r="R109" s="32">
        <v>5.15</v>
      </c>
      <c r="S109" s="32">
        <v>40</v>
      </c>
      <c r="T109" s="33">
        <v>1.3311999999999999E-2</v>
      </c>
      <c r="U109" s="34">
        <v>5.64E-3</v>
      </c>
      <c r="V109" s="35">
        <v>0.62</v>
      </c>
      <c r="W109" s="16" t="s">
        <v>173</v>
      </c>
      <c r="X109" s="16" t="s">
        <v>408</v>
      </c>
    </row>
    <row r="110" spans="1:24" x14ac:dyDescent="0.3">
      <c r="A110" s="16" t="s">
        <v>472</v>
      </c>
      <c r="B110" s="16" t="s">
        <v>404</v>
      </c>
      <c r="C110" s="16" t="s">
        <v>473</v>
      </c>
      <c r="D110" s="16" t="s">
        <v>474</v>
      </c>
      <c r="E110" s="28">
        <v>4400000000094</v>
      </c>
      <c r="F110" s="16" t="s">
        <v>407</v>
      </c>
      <c r="G110" s="16" t="s">
        <v>220</v>
      </c>
      <c r="H110" s="16" t="s">
        <v>213</v>
      </c>
      <c r="I110" s="16" t="s">
        <v>171</v>
      </c>
      <c r="J110" s="16" t="s">
        <v>188</v>
      </c>
      <c r="K110" s="29">
        <v>1.282</v>
      </c>
      <c r="L110" s="16">
        <v>50</v>
      </c>
      <c r="M110" s="30">
        <v>0.06</v>
      </c>
      <c r="N110" s="31">
        <v>12.2</v>
      </c>
      <c r="O110" s="16">
        <v>300</v>
      </c>
      <c r="P110" s="16">
        <v>5000</v>
      </c>
      <c r="Q110" s="32">
        <v>4.2</v>
      </c>
      <c r="R110" s="32">
        <v>5.15</v>
      </c>
      <c r="S110" s="32">
        <v>40</v>
      </c>
      <c r="T110" s="33">
        <v>1.7680000000000001E-2</v>
      </c>
      <c r="U110" s="34">
        <v>5.64E-3</v>
      </c>
      <c r="V110" s="35">
        <v>0.62</v>
      </c>
      <c r="W110" s="16" t="s">
        <v>173</v>
      </c>
      <c r="X110" s="16" t="s">
        <v>408</v>
      </c>
    </row>
    <row r="111" spans="1:24" x14ac:dyDescent="0.3">
      <c r="A111" s="16" t="s">
        <v>475</v>
      </c>
      <c r="B111" s="16" t="s">
        <v>404</v>
      </c>
      <c r="C111" s="16" t="s">
        <v>476</v>
      </c>
      <c r="D111" s="16" t="s">
        <v>477</v>
      </c>
      <c r="E111" s="28">
        <v>4400000000095</v>
      </c>
      <c r="F111" s="16" t="s">
        <v>407</v>
      </c>
      <c r="G111" s="16" t="s">
        <v>220</v>
      </c>
      <c r="H111" s="16" t="s">
        <v>213</v>
      </c>
      <c r="I111" s="16" t="s">
        <v>178</v>
      </c>
      <c r="J111" s="16" t="s">
        <v>188</v>
      </c>
      <c r="K111" s="29">
        <v>1.282</v>
      </c>
      <c r="L111" s="16">
        <v>50</v>
      </c>
      <c r="M111" s="30">
        <v>0.06</v>
      </c>
      <c r="N111" s="31">
        <v>12.2</v>
      </c>
      <c r="O111" s="16">
        <v>300</v>
      </c>
      <c r="P111" s="16">
        <v>5000</v>
      </c>
      <c r="Q111" s="32">
        <v>4.2</v>
      </c>
      <c r="R111" s="32">
        <v>5.15</v>
      </c>
      <c r="S111" s="32">
        <v>40</v>
      </c>
      <c r="T111" s="33">
        <v>8.3199999999999993E-3</v>
      </c>
      <c r="U111" s="34">
        <v>5.64E-3</v>
      </c>
      <c r="V111" s="35">
        <v>0.62</v>
      </c>
      <c r="W111" s="16" t="s">
        <v>173</v>
      </c>
      <c r="X111" s="16" t="s">
        <v>408</v>
      </c>
    </row>
    <row r="112" spans="1:24" x14ac:dyDescent="0.3">
      <c r="A112" s="16" t="s">
        <v>478</v>
      </c>
      <c r="B112" s="16" t="s">
        <v>404</v>
      </c>
      <c r="C112" s="16" t="s">
        <v>479</v>
      </c>
      <c r="D112" s="16" t="s">
        <v>480</v>
      </c>
      <c r="E112" s="28">
        <v>4400000000096</v>
      </c>
      <c r="F112" s="16" t="s">
        <v>407</v>
      </c>
      <c r="G112" s="16" t="s">
        <v>258</v>
      </c>
      <c r="H112" s="16" t="s">
        <v>170</v>
      </c>
      <c r="I112" s="16" t="s">
        <v>171</v>
      </c>
      <c r="J112" s="16" t="s">
        <v>221</v>
      </c>
      <c r="K112" s="29">
        <v>2.0539999999999998</v>
      </c>
      <c r="L112" s="16">
        <v>50</v>
      </c>
      <c r="M112" s="30">
        <v>0.06</v>
      </c>
      <c r="N112" s="31">
        <v>12.2</v>
      </c>
      <c r="O112" s="16">
        <v>300</v>
      </c>
      <c r="P112" s="16">
        <v>5000</v>
      </c>
      <c r="Q112" s="32">
        <v>4.2</v>
      </c>
      <c r="R112" s="32">
        <v>5.15</v>
      </c>
      <c r="S112" s="32">
        <v>40</v>
      </c>
      <c r="T112" s="33">
        <v>9.3023999999999996E-2</v>
      </c>
      <c r="U112" s="34">
        <v>5.64E-3</v>
      </c>
      <c r="V112" s="35">
        <v>0.62</v>
      </c>
      <c r="W112" s="16" t="s">
        <v>173</v>
      </c>
      <c r="X112" s="16" t="s">
        <v>408</v>
      </c>
    </row>
    <row r="113" spans="1:24" x14ac:dyDescent="0.3">
      <c r="A113" s="16" t="s">
        <v>481</v>
      </c>
      <c r="B113" s="16" t="s">
        <v>404</v>
      </c>
      <c r="C113" s="16" t="s">
        <v>482</v>
      </c>
      <c r="D113" s="16" t="s">
        <v>483</v>
      </c>
      <c r="E113" s="28">
        <v>4400000000097</v>
      </c>
      <c r="F113" s="16" t="s">
        <v>407</v>
      </c>
      <c r="G113" s="16" t="s">
        <v>258</v>
      </c>
      <c r="H113" s="16" t="s">
        <v>170</v>
      </c>
      <c r="I113" s="16" t="s">
        <v>178</v>
      </c>
      <c r="J113" s="16" t="s">
        <v>184</v>
      </c>
      <c r="K113" s="29">
        <v>1.645</v>
      </c>
      <c r="L113" s="16">
        <v>50</v>
      </c>
      <c r="M113" s="30">
        <v>0.06</v>
      </c>
      <c r="N113" s="31">
        <v>12.2</v>
      </c>
      <c r="O113" s="16">
        <v>300</v>
      </c>
      <c r="P113" s="16">
        <v>5000</v>
      </c>
      <c r="Q113" s="32">
        <v>4.2</v>
      </c>
      <c r="R113" s="32">
        <v>5.15</v>
      </c>
      <c r="S113" s="32">
        <v>40</v>
      </c>
      <c r="T113" s="33">
        <v>4.3776000000000002E-2</v>
      </c>
      <c r="U113" s="34">
        <v>5.64E-3</v>
      </c>
      <c r="V113" s="35">
        <v>0.62</v>
      </c>
      <c r="W113" s="16" t="s">
        <v>173</v>
      </c>
      <c r="X113" s="16" t="s">
        <v>408</v>
      </c>
    </row>
    <row r="114" spans="1:24" x14ac:dyDescent="0.3">
      <c r="A114" s="16" t="s">
        <v>484</v>
      </c>
      <c r="B114" s="16" t="s">
        <v>404</v>
      </c>
      <c r="C114" s="16" t="s">
        <v>485</v>
      </c>
      <c r="D114" s="16" t="s">
        <v>486</v>
      </c>
      <c r="E114" s="28">
        <v>4400000000098</v>
      </c>
      <c r="F114" s="16" t="s">
        <v>407</v>
      </c>
      <c r="G114" s="16" t="s">
        <v>258</v>
      </c>
      <c r="H114" s="16" t="s">
        <v>183</v>
      </c>
      <c r="I114" s="16" t="s">
        <v>171</v>
      </c>
      <c r="J114" s="16" t="s">
        <v>172</v>
      </c>
      <c r="K114" s="29">
        <v>1.881</v>
      </c>
      <c r="L114" s="16">
        <v>50</v>
      </c>
      <c r="M114" s="30">
        <v>0.06</v>
      </c>
      <c r="N114" s="31">
        <v>12.2</v>
      </c>
      <c r="O114" s="16">
        <v>300</v>
      </c>
      <c r="P114" s="16">
        <v>5000</v>
      </c>
      <c r="Q114" s="32">
        <v>4.2</v>
      </c>
      <c r="R114" s="32">
        <v>5.15</v>
      </c>
      <c r="S114" s="32">
        <v>40</v>
      </c>
      <c r="T114" s="33">
        <v>5.8751999999999999E-2</v>
      </c>
      <c r="U114" s="34">
        <v>5.64E-3</v>
      </c>
      <c r="V114" s="35">
        <v>0.62</v>
      </c>
      <c r="W114" s="16" t="s">
        <v>173</v>
      </c>
      <c r="X114" s="16" t="s">
        <v>408</v>
      </c>
    </row>
    <row r="115" spans="1:24" x14ac:dyDescent="0.3">
      <c r="A115" s="16" t="s">
        <v>487</v>
      </c>
      <c r="B115" s="16" t="s">
        <v>404</v>
      </c>
      <c r="C115" s="16" t="s">
        <v>488</v>
      </c>
      <c r="D115" s="16" t="s">
        <v>489</v>
      </c>
      <c r="E115" s="28">
        <v>4400000000099</v>
      </c>
      <c r="F115" s="16" t="s">
        <v>407</v>
      </c>
      <c r="G115" s="16" t="s">
        <v>258</v>
      </c>
      <c r="H115" s="16" t="s">
        <v>183</v>
      </c>
      <c r="I115" s="16" t="s">
        <v>178</v>
      </c>
      <c r="J115" s="16" t="s">
        <v>188</v>
      </c>
      <c r="K115" s="29">
        <v>1.282</v>
      </c>
      <c r="L115" s="16">
        <v>50</v>
      </c>
      <c r="M115" s="30">
        <v>0.06</v>
      </c>
      <c r="N115" s="31">
        <v>12.2</v>
      </c>
      <c r="O115" s="16">
        <v>300</v>
      </c>
      <c r="P115" s="16">
        <v>5000</v>
      </c>
      <c r="Q115" s="32">
        <v>4.2</v>
      </c>
      <c r="R115" s="32">
        <v>5.15</v>
      </c>
      <c r="S115" s="32">
        <v>40</v>
      </c>
      <c r="T115" s="33">
        <v>2.7647999999999999E-2</v>
      </c>
      <c r="U115" s="34">
        <v>5.64E-3</v>
      </c>
      <c r="V115" s="35">
        <v>0.62</v>
      </c>
      <c r="W115" s="16" t="s">
        <v>173</v>
      </c>
      <c r="X115" s="16" t="s">
        <v>408</v>
      </c>
    </row>
    <row r="116" spans="1:24" x14ac:dyDescent="0.3">
      <c r="A116" s="16" t="s">
        <v>490</v>
      </c>
      <c r="B116" s="16" t="s">
        <v>404</v>
      </c>
      <c r="C116" s="16" t="s">
        <v>491</v>
      </c>
      <c r="D116" s="16" t="s">
        <v>492</v>
      </c>
      <c r="E116" s="28">
        <v>4400000000100</v>
      </c>
      <c r="F116" s="16" t="s">
        <v>407</v>
      </c>
      <c r="G116" s="16" t="s">
        <v>258</v>
      </c>
      <c r="H116" s="16" t="s">
        <v>192</v>
      </c>
      <c r="I116" s="16" t="s">
        <v>171</v>
      </c>
      <c r="J116" s="16" t="s">
        <v>179</v>
      </c>
      <c r="K116" s="29">
        <v>1.645</v>
      </c>
      <c r="L116" s="16">
        <v>50</v>
      </c>
      <c r="M116" s="30">
        <v>0.06</v>
      </c>
      <c r="N116" s="31">
        <v>12.2</v>
      </c>
      <c r="O116" s="16">
        <v>300</v>
      </c>
      <c r="P116" s="16">
        <v>5000</v>
      </c>
      <c r="Q116" s="32">
        <v>4.2</v>
      </c>
      <c r="R116" s="32">
        <v>5.15</v>
      </c>
      <c r="S116" s="32">
        <v>40</v>
      </c>
      <c r="T116" s="33">
        <v>3.4271999999999997E-2</v>
      </c>
      <c r="U116" s="34">
        <v>5.64E-3</v>
      </c>
      <c r="V116" s="35">
        <v>0.62</v>
      </c>
      <c r="W116" s="16" t="s">
        <v>173</v>
      </c>
      <c r="X116" s="16" t="s">
        <v>408</v>
      </c>
    </row>
    <row r="117" spans="1:24" x14ac:dyDescent="0.3">
      <c r="A117" s="16" t="s">
        <v>493</v>
      </c>
      <c r="B117" s="16" t="s">
        <v>404</v>
      </c>
      <c r="C117" s="16" t="s">
        <v>494</v>
      </c>
      <c r="D117" s="16" t="s">
        <v>495</v>
      </c>
      <c r="E117" s="28">
        <v>4400000000101</v>
      </c>
      <c r="F117" s="16" t="s">
        <v>407</v>
      </c>
      <c r="G117" s="16" t="s">
        <v>258</v>
      </c>
      <c r="H117" s="16" t="s">
        <v>192</v>
      </c>
      <c r="I117" s="16" t="s">
        <v>178</v>
      </c>
      <c r="J117" s="16" t="s">
        <v>188</v>
      </c>
      <c r="K117" s="29">
        <v>1.282</v>
      </c>
      <c r="L117" s="16">
        <v>50</v>
      </c>
      <c r="M117" s="30">
        <v>0.06</v>
      </c>
      <c r="N117" s="31">
        <v>12.2</v>
      </c>
      <c r="O117" s="16">
        <v>300</v>
      </c>
      <c r="P117" s="16">
        <v>5000</v>
      </c>
      <c r="Q117" s="32">
        <v>4.2</v>
      </c>
      <c r="R117" s="32">
        <v>5.15</v>
      </c>
      <c r="S117" s="32">
        <v>40</v>
      </c>
      <c r="T117" s="33">
        <v>1.6128E-2</v>
      </c>
      <c r="U117" s="34">
        <v>5.64E-3</v>
      </c>
      <c r="V117" s="35">
        <v>0.62</v>
      </c>
      <c r="W117" s="16" t="s">
        <v>173</v>
      </c>
      <c r="X117" s="16" t="s">
        <v>408</v>
      </c>
    </row>
    <row r="118" spans="1:24" x14ac:dyDescent="0.3">
      <c r="A118" s="16" t="s">
        <v>496</v>
      </c>
      <c r="B118" s="16" t="s">
        <v>404</v>
      </c>
      <c r="C118" s="16" t="s">
        <v>497</v>
      </c>
      <c r="D118" s="16" t="s">
        <v>498</v>
      </c>
      <c r="E118" s="28">
        <v>4400000000102</v>
      </c>
      <c r="F118" s="16" t="s">
        <v>407</v>
      </c>
      <c r="G118" s="16" t="s">
        <v>258</v>
      </c>
      <c r="H118" s="16" t="s">
        <v>199</v>
      </c>
      <c r="I118" s="16" t="s">
        <v>171</v>
      </c>
      <c r="J118" s="16" t="s">
        <v>188</v>
      </c>
      <c r="K118" s="29">
        <v>1.282</v>
      </c>
      <c r="L118" s="16">
        <v>50</v>
      </c>
      <c r="M118" s="30">
        <v>0.06</v>
      </c>
      <c r="N118" s="31">
        <v>12.2</v>
      </c>
      <c r="O118" s="16">
        <v>300</v>
      </c>
      <c r="P118" s="16">
        <v>5000</v>
      </c>
      <c r="Q118" s="32">
        <v>4.2</v>
      </c>
      <c r="R118" s="32">
        <v>5.15</v>
      </c>
      <c r="S118" s="32">
        <v>40</v>
      </c>
      <c r="T118" s="33">
        <v>2.6928000000000001E-2</v>
      </c>
      <c r="U118" s="34">
        <v>5.64E-3</v>
      </c>
      <c r="V118" s="35">
        <v>0.62</v>
      </c>
      <c r="W118" s="16" t="s">
        <v>173</v>
      </c>
      <c r="X118" s="16" t="s">
        <v>408</v>
      </c>
    </row>
    <row r="119" spans="1:24" x14ac:dyDescent="0.3">
      <c r="A119" s="16" t="s">
        <v>499</v>
      </c>
      <c r="B119" s="16" t="s">
        <v>404</v>
      </c>
      <c r="C119" s="16" t="s">
        <v>500</v>
      </c>
      <c r="D119" s="16" t="s">
        <v>501</v>
      </c>
      <c r="E119" s="28">
        <v>4400000000103</v>
      </c>
      <c r="F119" s="16" t="s">
        <v>407</v>
      </c>
      <c r="G119" s="16" t="s">
        <v>258</v>
      </c>
      <c r="H119" s="16" t="s">
        <v>199</v>
      </c>
      <c r="I119" s="16" t="s">
        <v>178</v>
      </c>
      <c r="J119" s="16" t="s">
        <v>188</v>
      </c>
      <c r="K119" s="29">
        <v>1.282</v>
      </c>
      <c r="L119" s="16">
        <v>50</v>
      </c>
      <c r="M119" s="30">
        <v>0.06</v>
      </c>
      <c r="N119" s="31">
        <v>12.2</v>
      </c>
      <c r="O119" s="16">
        <v>300</v>
      </c>
      <c r="P119" s="16">
        <v>5000</v>
      </c>
      <c r="Q119" s="32">
        <v>4.2</v>
      </c>
      <c r="R119" s="32">
        <v>5.15</v>
      </c>
      <c r="S119" s="32">
        <v>40</v>
      </c>
      <c r="T119" s="33">
        <v>1.2671999999999999E-2</v>
      </c>
      <c r="U119" s="34">
        <v>5.64E-3</v>
      </c>
      <c r="V119" s="35">
        <v>0.62</v>
      </c>
      <c r="W119" s="16" t="s">
        <v>173</v>
      </c>
      <c r="X119" s="16" t="s">
        <v>408</v>
      </c>
    </row>
    <row r="120" spans="1:24" x14ac:dyDescent="0.3">
      <c r="A120" s="16" t="s">
        <v>502</v>
      </c>
      <c r="B120" s="16" t="s">
        <v>404</v>
      </c>
      <c r="C120" s="16" t="s">
        <v>503</v>
      </c>
      <c r="D120" s="16" t="s">
        <v>504</v>
      </c>
      <c r="E120" s="28">
        <v>4400000000104</v>
      </c>
      <c r="F120" s="16" t="s">
        <v>407</v>
      </c>
      <c r="G120" s="16" t="s">
        <v>258</v>
      </c>
      <c r="H120" s="16" t="s">
        <v>206</v>
      </c>
      <c r="I120" s="16" t="s">
        <v>171</v>
      </c>
      <c r="J120" s="16" t="s">
        <v>188</v>
      </c>
      <c r="K120" s="29">
        <v>1.282</v>
      </c>
      <c r="L120" s="16">
        <v>50</v>
      </c>
      <c r="M120" s="30">
        <v>0.06</v>
      </c>
      <c r="N120" s="31">
        <v>12.2</v>
      </c>
      <c r="O120" s="16">
        <v>300</v>
      </c>
      <c r="P120" s="16">
        <v>5000</v>
      </c>
      <c r="Q120" s="32">
        <v>4.2</v>
      </c>
      <c r="R120" s="32">
        <v>5.15</v>
      </c>
      <c r="S120" s="32">
        <v>40</v>
      </c>
      <c r="T120" s="33">
        <v>1.9584000000000001E-2</v>
      </c>
      <c r="U120" s="34">
        <v>5.64E-3</v>
      </c>
      <c r="V120" s="35">
        <v>0.62</v>
      </c>
      <c r="W120" s="16" t="s">
        <v>173</v>
      </c>
      <c r="X120" s="16" t="s">
        <v>408</v>
      </c>
    </row>
    <row r="121" spans="1:24" x14ac:dyDescent="0.3">
      <c r="A121" s="16" t="s">
        <v>505</v>
      </c>
      <c r="B121" s="16" t="s">
        <v>404</v>
      </c>
      <c r="C121" s="16" t="s">
        <v>506</v>
      </c>
      <c r="D121" s="16" t="s">
        <v>507</v>
      </c>
      <c r="E121" s="28">
        <v>4400000000105</v>
      </c>
      <c r="F121" s="16" t="s">
        <v>407</v>
      </c>
      <c r="G121" s="16" t="s">
        <v>258</v>
      </c>
      <c r="H121" s="16" t="s">
        <v>206</v>
      </c>
      <c r="I121" s="16" t="s">
        <v>178</v>
      </c>
      <c r="J121" s="16" t="s">
        <v>188</v>
      </c>
      <c r="K121" s="29">
        <v>1.282</v>
      </c>
      <c r="L121" s="16">
        <v>50</v>
      </c>
      <c r="M121" s="30">
        <v>0.06</v>
      </c>
      <c r="N121" s="31">
        <v>12.2</v>
      </c>
      <c r="O121" s="16">
        <v>300</v>
      </c>
      <c r="P121" s="16">
        <v>5000</v>
      </c>
      <c r="Q121" s="32">
        <v>4.2</v>
      </c>
      <c r="R121" s="32">
        <v>5.15</v>
      </c>
      <c r="S121" s="32">
        <v>40</v>
      </c>
      <c r="T121" s="33">
        <v>9.2160000000000002E-3</v>
      </c>
      <c r="U121" s="34">
        <v>5.64E-3</v>
      </c>
      <c r="V121" s="35">
        <v>0.62</v>
      </c>
      <c r="W121" s="16" t="s">
        <v>173</v>
      </c>
      <c r="X121" s="16" t="s">
        <v>408</v>
      </c>
    </row>
    <row r="122" spans="1:24" x14ac:dyDescent="0.3">
      <c r="A122" s="16" t="s">
        <v>508</v>
      </c>
      <c r="B122" s="16" t="s">
        <v>404</v>
      </c>
      <c r="C122" s="16" t="s">
        <v>509</v>
      </c>
      <c r="D122" s="16" t="s">
        <v>510</v>
      </c>
      <c r="E122" s="28">
        <v>4400000000106</v>
      </c>
      <c r="F122" s="16" t="s">
        <v>407</v>
      </c>
      <c r="G122" s="16" t="s">
        <v>258</v>
      </c>
      <c r="H122" s="16" t="s">
        <v>213</v>
      </c>
      <c r="I122" s="16" t="s">
        <v>171</v>
      </c>
      <c r="J122" s="16" t="s">
        <v>188</v>
      </c>
      <c r="K122" s="29">
        <v>1.282</v>
      </c>
      <c r="L122" s="16">
        <v>50</v>
      </c>
      <c r="M122" s="30">
        <v>0.06</v>
      </c>
      <c r="N122" s="31">
        <v>12.2</v>
      </c>
      <c r="O122" s="16">
        <v>300</v>
      </c>
      <c r="P122" s="16">
        <v>5000</v>
      </c>
      <c r="Q122" s="32">
        <v>4.2</v>
      </c>
      <c r="R122" s="32">
        <v>5.15</v>
      </c>
      <c r="S122" s="32">
        <v>40</v>
      </c>
      <c r="T122" s="33">
        <v>1.2239999999999999E-2</v>
      </c>
      <c r="U122" s="34">
        <v>5.64E-3</v>
      </c>
      <c r="V122" s="35">
        <v>0.62</v>
      </c>
      <c r="W122" s="16" t="s">
        <v>173</v>
      </c>
      <c r="X122" s="16" t="s">
        <v>408</v>
      </c>
    </row>
    <row r="123" spans="1:24" x14ac:dyDescent="0.3">
      <c r="A123" s="16" t="s">
        <v>511</v>
      </c>
      <c r="B123" s="16" t="s">
        <v>404</v>
      </c>
      <c r="C123" s="16" t="s">
        <v>512</v>
      </c>
      <c r="D123" s="16" t="s">
        <v>513</v>
      </c>
      <c r="E123" s="28">
        <v>4400000000107</v>
      </c>
      <c r="F123" s="16" t="s">
        <v>407</v>
      </c>
      <c r="G123" s="16" t="s">
        <v>258</v>
      </c>
      <c r="H123" s="16" t="s">
        <v>213</v>
      </c>
      <c r="I123" s="16" t="s">
        <v>178</v>
      </c>
      <c r="J123" s="16" t="s">
        <v>188</v>
      </c>
      <c r="K123" s="29">
        <v>1.282</v>
      </c>
      <c r="L123" s="16">
        <v>50</v>
      </c>
      <c r="M123" s="30">
        <v>0.06</v>
      </c>
      <c r="N123" s="31">
        <v>12.2</v>
      </c>
      <c r="O123" s="16">
        <v>300</v>
      </c>
      <c r="P123" s="16">
        <v>5000</v>
      </c>
      <c r="Q123" s="32">
        <v>4.2</v>
      </c>
      <c r="R123" s="32">
        <v>5.15</v>
      </c>
      <c r="S123" s="32">
        <v>40</v>
      </c>
      <c r="T123" s="33">
        <v>5.7600000000000004E-3</v>
      </c>
      <c r="U123" s="34">
        <v>5.64E-3</v>
      </c>
      <c r="V123" s="35">
        <v>0.62</v>
      </c>
      <c r="W123" s="16" t="s">
        <v>173</v>
      </c>
      <c r="X123" s="16" t="s">
        <v>408</v>
      </c>
    </row>
    <row r="124" spans="1:24" x14ac:dyDescent="0.3">
      <c r="A124" s="16" t="s">
        <v>514</v>
      </c>
      <c r="B124" s="16" t="s">
        <v>515</v>
      </c>
      <c r="C124" s="16" t="s">
        <v>516</v>
      </c>
      <c r="D124" s="16" t="s">
        <v>517</v>
      </c>
      <c r="E124" s="28">
        <v>4400000000108</v>
      </c>
      <c r="F124" s="16" t="s">
        <v>518</v>
      </c>
      <c r="G124" s="16" t="s">
        <v>519</v>
      </c>
      <c r="H124" s="16" t="s">
        <v>170</v>
      </c>
      <c r="I124" s="16" t="s">
        <v>171</v>
      </c>
      <c r="J124" s="16" t="s">
        <v>184</v>
      </c>
      <c r="K124" s="29">
        <v>1.645</v>
      </c>
      <c r="L124" s="16">
        <v>100</v>
      </c>
      <c r="M124" s="30">
        <v>0.03</v>
      </c>
      <c r="N124" s="31">
        <v>9.4</v>
      </c>
      <c r="O124" s="16">
        <v>500</v>
      </c>
      <c r="P124" s="16">
        <v>5000</v>
      </c>
      <c r="Q124" s="32">
        <v>6.5</v>
      </c>
      <c r="R124" s="32">
        <v>7.9</v>
      </c>
      <c r="S124" s="32">
        <v>49</v>
      </c>
      <c r="T124" s="33">
        <v>0.15504000000000001</v>
      </c>
      <c r="U124" s="34">
        <v>3.5000000000000001E-3</v>
      </c>
      <c r="V124" s="35">
        <v>0.65</v>
      </c>
      <c r="W124" s="16" t="s">
        <v>173</v>
      </c>
      <c r="X124" s="16" t="s">
        <v>520</v>
      </c>
    </row>
    <row r="125" spans="1:24" x14ac:dyDescent="0.3">
      <c r="A125" s="16" t="s">
        <v>521</v>
      </c>
      <c r="B125" s="16" t="s">
        <v>515</v>
      </c>
      <c r="C125" s="16" t="s">
        <v>522</v>
      </c>
      <c r="D125" s="16" t="s">
        <v>523</v>
      </c>
      <c r="E125" s="28">
        <v>4400000000109</v>
      </c>
      <c r="F125" s="16" t="s">
        <v>518</v>
      </c>
      <c r="G125" s="16" t="s">
        <v>519</v>
      </c>
      <c r="H125" s="16" t="s">
        <v>170</v>
      </c>
      <c r="I125" s="16" t="s">
        <v>178</v>
      </c>
      <c r="J125" s="16" t="s">
        <v>184</v>
      </c>
      <c r="K125" s="29">
        <v>1.645</v>
      </c>
      <c r="L125" s="16">
        <v>100</v>
      </c>
      <c r="M125" s="30">
        <v>0.03</v>
      </c>
      <c r="N125" s="31">
        <v>9.4</v>
      </c>
      <c r="O125" s="16">
        <v>500</v>
      </c>
      <c r="P125" s="16">
        <v>5000</v>
      </c>
      <c r="Q125" s="32">
        <v>6.5</v>
      </c>
      <c r="R125" s="32">
        <v>7.9</v>
      </c>
      <c r="S125" s="32">
        <v>49</v>
      </c>
      <c r="T125" s="33">
        <v>7.2959999999999997E-2</v>
      </c>
      <c r="U125" s="34">
        <v>3.5000000000000001E-3</v>
      </c>
      <c r="V125" s="35">
        <v>0.65</v>
      </c>
      <c r="W125" s="16" t="s">
        <v>173</v>
      </c>
      <c r="X125" s="16" t="s">
        <v>520</v>
      </c>
    </row>
    <row r="126" spans="1:24" x14ac:dyDescent="0.3">
      <c r="A126" s="16" t="s">
        <v>524</v>
      </c>
      <c r="B126" s="16" t="s">
        <v>515</v>
      </c>
      <c r="C126" s="16" t="s">
        <v>525</v>
      </c>
      <c r="D126" s="16" t="s">
        <v>526</v>
      </c>
      <c r="E126" s="28">
        <v>4400000000110</v>
      </c>
      <c r="F126" s="16" t="s">
        <v>518</v>
      </c>
      <c r="G126" s="16" t="s">
        <v>519</v>
      </c>
      <c r="H126" s="16" t="s">
        <v>183</v>
      </c>
      <c r="I126" s="16" t="s">
        <v>171</v>
      </c>
      <c r="J126" s="16" t="s">
        <v>184</v>
      </c>
      <c r="K126" s="29">
        <v>1.645</v>
      </c>
      <c r="L126" s="16">
        <v>100</v>
      </c>
      <c r="M126" s="30">
        <v>0.03</v>
      </c>
      <c r="N126" s="31">
        <v>9.4</v>
      </c>
      <c r="O126" s="16">
        <v>500</v>
      </c>
      <c r="P126" s="16">
        <v>5000</v>
      </c>
      <c r="Q126" s="32">
        <v>6.5</v>
      </c>
      <c r="R126" s="32">
        <v>7.9</v>
      </c>
      <c r="S126" s="32">
        <v>49</v>
      </c>
      <c r="T126" s="33">
        <v>9.7919999999999993E-2</v>
      </c>
      <c r="U126" s="34">
        <v>3.5000000000000001E-3</v>
      </c>
      <c r="V126" s="35">
        <v>0.65</v>
      </c>
      <c r="W126" s="16" t="s">
        <v>173</v>
      </c>
      <c r="X126" s="16" t="s">
        <v>520</v>
      </c>
    </row>
    <row r="127" spans="1:24" x14ac:dyDescent="0.3">
      <c r="A127" s="16" t="s">
        <v>527</v>
      </c>
      <c r="B127" s="16" t="s">
        <v>515</v>
      </c>
      <c r="C127" s="16" t="s">
        <v>528</v>
      </c>
      <c r="D127" s="16" t="s">
        <v>529</v>
      </c>
      <c r="E127" s="28">
        <v>4400000000111</v>
      </c>
      <c r="F127" s="16" t="s">
        <v>518</v>
      </c>
      <c r="G127" s="16" t="s">
        <v>519</v>
      </c>
      <c r="H127" s="16" t="s">
        <v>183</v>
      </c>
      <c r="I127" s="16" t="s">
        <v>178</v>
      </c>
      <c r="J127" s="16" t="s">
        <v>188</v>
      </c>
      <c r="K127" s="29">
        <v>1.282</v>
      </c>
      <c r="L127" s="16">
        <v>100</v>
      </c>
      <c r="M127" s="30">
        <v>0.03</v>
      </c>
      <c r="N127" s="31">
        <v>9.4</v>
      </c>
      <c r="O127" s="16">
        <v>500</v>
      </c>
      <c r="P127" s="16">
        <v>5000</v>
      </c>
      <c r="Q127" s="32">
        <v>6.5</v>
      </c>
      <c r="R127" s="32">
        <v>7.9</v>
      </c>
      <c r="S127" s="32">
        <v>49</v>
      </c>
      <c r="T127" s="33">
        <v>4.6080000000000003E-2</v>
      </c>
      <c r="U127" s="34">
        <v>3.5000000000000001E-3</v>
      </c>
      <c r="V127" s="35">
        <v>0.65</v>
      </c>
      <c r="W127" s="16" t="s">
        <v>173</v>
      </c>
      <c r="X127" s="16" t="s">
        <v>520</v>
      </c>
    </row>
    <row r="128" spans="1:24" x14ac:dyDescent="0.3">
      <c r="A128" s="16" t="s">
        <v>530</v>
      </c>
      <c r="B128" s="16" t="s">
        <v>515</v>
      </c>
      <c r="C128" s="16" t="s">
        <v>531</v>
      </c>
      <c r="D128" s="16" t="s">
        <v>532</v>
      </c>
      <c r="E128" s="28">
        <v>4400000000112</v>
      </c>
      <c r="F128" s="16" t="s">
        <v>518</v>
      </c>
      <c r="G128" s="16" t="s">
        <v>519</v>
      </c>
      <c r="H128" s="16" t="s">
        <v>192</v>
      </c>
      <c r="I128" s="16" t="s">
        <v>171</v>
      </c>
      <c r="J128" s="16" t="s">
        <v>179</v>
      </c>
      <c r="K128" s="29">
        <v>1.645</v>
      </c>
      <c r="L128" s="16">
        <v>100</v>
      </c>
      <c r="M128" s="30">
        <v>0.03</v>
      </c>
      <c r="N128" s="31">
        <v>9.4</v>
      </c>
      <c r="O128" s="16">
        <v>500</v>
      </c>
      <c r="P128" s="16">
        <v>5000</v>
      </c>
      <c r="Q128" s="32">
        <v>6.5</v>
      </c>
      <c r="R128" s="32">
        <v>7.9</v>
      </c>
      <c r="S128" s="32">
        <v>49</v>
      </c>
      <c r="T128" s="33">
        <v>5.7119999999999997E-2</v>
      </c>
      <c r="U128" s="34">
        <v>3.5000000000000001E-3</v>
      </c>
      <c r="V128" s="35">
        <v>0.65</v>
      </c>
      <c r="W128" s="16" t="s">
        <v>173</v>
      </c>
      <c r="X128" s="16" t="s">
        <v>520</v>
      </c>
    </row>
    <row r="129" spans="1:24" x14ac:dyDescent="0.3">
      <c r="A129" s="16" t="s">
        <v>533</v>
      </c>
      <c r="B129" s="16" t="s">
        <v>515</v>
      </c>
      <c r="C129" s="16" t="s">
        <v>534</v>
      </c>
      <c r="D129" s="16" t="s">
        <v>535</v>
      </c>
      <c r="E129" s="28">
        <v>4400000000113</v>
      </c>
      <c r="F129" s="16" t="s">
        <v>518</v>
      </c>
      <c r="G129" s="16" t="s">
        <v>519</v>
      </c>
      <c r="H129" s="16" t="s">
        <v>192</v>
      </c>
      <c r="I129" s="16" t="s">
        <v>178</v>
      </c>
      <c r="J129" s="16" t="s">
        <v>188</v>
      </c>
      <c r="K129" s="29">
        <v>1.282</v>
      </c>
      <c r="L129" s="16">
        <v>100</v>
      </c>
      <c r="M129" s="30">
        <v>0.03</v>
      </c>
      <c r="N129" s="31">
        <v>9.4</v>
      </c>
      <c r="O129" s="16">
        <v>500</v>
      </c>
      <c r="P129" s="16">
        <v>5000</v>
      </c>
      <c r="Q129" s="32">
        <v>6.5</v>
      </c>
      <c r="R129" s="32">
        <v>7.9</v>
      </c>
      <c r="S129" s="32">
        <v>49</v>
      </c>
      <c r="T129" s="33">
        <v>2.6880000000000001E-2</v>
      </c>
      <c r="U129" s="34">
        <v>3.5000000000000001E-3</v>
      </c>
      <c r="V129" s="35">
        <v>0.65</v>
      </c>
      <c r="W129" s="16" t="s">
        <v>173</v>
      </c>
      <c r="X129" s="16" t="s">
        <v>520</v>
      </c>
    </row>
    <row r="130" spans="1:24" x14ac:dyDescent="0.3">
      <c r="A130" s="16" t="s">
        <v>536</v>
      </c>
      <c r="B130" s="16" t="s">
        <v>515</v>
      </c>
      <c r="C130" s="16" t="s">
        <v>537</v>
      </c>
      <c r="D130" s="16" t="s">
        <v>538</v>
      </c>
      <c r="E130" s="28">
        <v>4400000000114</v>
      </c>
      <c r="F130" s="16" t="s">
        <v>518</v>
      </c>
      <c r="G130" s="16" t="s">
        <v>519</v>
      </c>
      <c r="H130" s="16" t="s">
        <v>199</v>
      </c>
      <c r="I130" s="16" t="s">
        <v>171</v>
      </c>
      <c r="J130" s="16" t="s">
        <v>188</v>
      </c>
      <c r="K130" s="29">
        <v>1.282</v>
      </c>
      <c r="L130" s="16">
        <v>100</v>
      </c>
      <c r="M130" s="30">
        <v>0.03</v>
      </c>
      <c r="N130" s="31">
        <v>9.4</v>
      </c>
      <c r="O130" s="16">
        <v>500</v>
      </c>
      <c r="P130" s="16">
        <v>5000</v>
      </c>
      <c r="Q130" s="32">
        <v>6.5</v>
      </c>
      <c r="R130" s="32">
        <v>7.9</v>
      </c>
      <c r="S130" s="32">
        <v>49</v>
      </c>
      <c r="T130" s="33">
        <v>4.4880000000000003E-2</v>
      </c>
      <c r="U130" s="34">
        <v>3.5000000000000001E-3</v>
      </c>
      <c r="V130" s="35">
        <v>0.65</v>
      </c>
      <c r="W130" s="16" t="s">
        <v>173</v>
      </c>
      <c r="X130" s="16" t="s">
        <v>520</v>
      </c>
    </row>
    <row r="131" spans="1:24" x14ac:dyDescent="0.3">
      <c r="A131" s="16" t="s">
        <v>539</v>
      </c>
      <c r="B131" s="16" t="s">
        <v>515</v>
      </c>
      <c r="C131" s="16" t="s">
        <v>540</v>
      </c>
      <c r="D131" s="16" t="s">
        <v>541</v>
      </c>
      <c r="E131" s="28">
        <v>4400000000115</v>
      </c>
      <c r="F131" s="16" t="s">
        <v>518</v>
      </c>
      <c r="G131" s="16" t="s">
        <v>519</v>
      </c>
      <c r="H131" s="16" t="s">
        <v>199</v>
      </c>
      <c r="I131" s="16" t="s">
        <v>178</v>
      </c>
      <c r="J131" s="16" t="s">
        <v>188</v>
      </c>
      <c r="K131" s="29">
        <v>1.282</v>
      </c>
      <c r="L131" s="16">
        <v>100</v>
      </c>
      <c r="M131" s="30">
        <v>0.03</v>
      </c>
      <c r="N131" s="31">
        <v>9.4</v>
      </c>
      <c r="O131" s="16">
        <v>500</v>
      </c>
      <c r="P131" s="16">
        <v>5000</v>
      </c>
      <c r="Q131" s="32">
        <v>6.5</v>
      </c>
      <c r="R131" s="32">
        <v>7.9</v>
      </c>
      <c r="S131" s="32">
        <v>49</v>
      </c>
      <c r="T131" s="33">
        <v>2.112E-2</v>
      </c>
      <c r="U131" s="34">
        <v>3.5000000000000001E-3</v>
      </c>
      <c r="V131" s="35">
        <v>0.65</v>
      </c>
      <c r="W131" s="16" t="s">
        <v>173</v>
      </c>
      <c r="X131" s="16" t="s">
        <v>520</v>
      </c>
    </row>
    <row r="132" spans="1:24" x14ac:dyDescent="0.3">
      <c r="A132" s="16" t="s">
        <v>542</v>
      </c>
      <c r="B132" s="16" t="s">
        <v>515</v>
      </c>
      <c r="C132" s="16" t="s">
        <v>543</v>
      </c>
      <c r="D132" s="16" t="s">
        <v>544</v>
      </c>
      <c r="E132" s="28">
        <v>4400000000116</v>
      </c>
      <c r="F132" s="16" t="s">
        <v>518</v>
      </c>
      <c r="G132" s="16" t="s">
        <v>519</v>
      </c>
      <c r="H132" s="16" t="s">
        <v>206</v>
      </c>
      <c r="I132" s="16" t="s">
        <v>171</v>
      </c>
      <c r="J132" s="16" t="s">
        <v>188</v>
      </c>
      <c r="K132" s="29">
        <v>1.282</v>
      </c>
      <c r="L132" s="16">
        <v>100</v>
      </c>
      <c r="M132" s="30">
        <v>0.03</v>
      </c>
      <c r="N132" s="31">
        <v>9.4</v>
      </c>
      <c r="O132" s="16">
        <v>500</v>
      </c>
      <c r="P132" s="16">
        <v>5000</v>
      </c>
      <c r="Q132" s="32">
        <v>6.5</v>
      </c>
      <c r="R132" s="32">
        <v>7.9</v>
      </c>
      <c r="S132" s="32">
        <v>49</v>
      </c>
      <c r="T132" s="33">
        <v>3.2640000000000002E-2</v>
      </c>
      <c r="U132" s="34">
        <v>3.5000000000000001E-3</v>
      </c>
      <c r="V132" s="35">
        <v>0.65</v>
      </c>
      <c r="W132" s="16" t="s">
        <v>173</v>
      </c>
      <c r="X132" s="16" t="s">
        <v>520</v>
      </c>
    </row>
    <row r="133" spans="1:24" x14ac:dyDescent="0.3">
      <c r="A133" s="16" t="s">
        <v>545</v>
      </c>
      <c r="B133" s="16" t="s">
        <v>515</v>
      </c>
      <c r="C133" s="16" t="s">
        <v>546</v>
      </c>
      <c r="D133" s="16" t="s">
        <v>547</v>
      </c>
      <c r="E133" s="28">
        <v>4400000000117</v>
      </c>
      <c r="F133" s="16" t="s">
        <v>518</v>
      </c>
      <c r="G133" s="16" t="s">
        <v>519</v>
      </c>
      <c r="H133" s="16" t="s">
        <v>206</v>
      </c>
      <c r="I133" s="16" t="s">
        <v>178</v>
      </c>
      <c r="J133" s="16" t="s">
        <v>188</v>
      </c>
      <c r="K133" s="29">
        <v>1.282</v>
      </c>
      <c r="L133" s="16">
        <v>100</v>
      </c>
      <c r="M133" s="30">
        <v>0.03</v>
      </c>
      <c r="N133" s="31">
        <v>9.4</v>
      </c>
      <c r="O133" s="16">
        <v>500</v>
      </c>
      <c r="P133" s="16">
        <v>5000</v>
      </c>
      <c r="Q133" s="32">
        <v>6.5</v>
      </c>
      <c r="R133" s="32">
        <v>7.9</v>
      </c>
      <c r="S133" s="32">
        <v>49</v>
      </c>
      <c r="T133" s="33">
        <v>1.536E-2</v>
      </c>
      <c r="U133" s="34">
        <v>3.5000000000000001E-3</v>
      </c>
      <c r="V133" s="35">
        <v>0.65</v>
      </c>
      <c r="W133" s="16" t="s">
        <v>173</v>
      </c>
      <c r="X133" s="16" t="s">
        <v>520</v>
      </c>
    </row>
    <row r="134" spans="1:24" x14ac:dyDescent="0.3">
      <c r="A134" s="16" t="s">
        <v>548</v>
      </c>
      <c r="B134" s="16" t="s">
        <v>515</v>
      </c>
      <c r="C134" s="16" t="s">
        <v>549</v>
      </c>
      <c r="D134" s="16" t="s">
        <v>550</v>
      </c>
      <c r="E134" s="28">
        <v>4400000000118</v>
      </c>
      <c r="F134" s="16" t="s">
        <v>518</v>
      </c>
      <c r="G134" s="16" t="s">
        <v>519</v>
      </c>
      <c r="H134" s="16" t="s">
        <v>213</v>
      </c>
      <c r="I134" s="16" t="s">
        <v>171</v>
      </c>
      <c r="J134" s="16" t="s">
        <v>188</v>
      </c>
      <c r="K134" s="29">
        <v>1.282</v>
      </c>
      <c r="L134" s="16">
        <v>100</v>
      </c>
      <c r="M134" s="30">
        <v>0.03</v>
      </c>
      <c r="N134" s="31">
        <v>9.4</v>
      </c>
      <c r="O134" s="16">
        <v>500</v>
      </c>
      <c r="P134" s="16">
        <v>5000</v>
      </c>
      <c r="Q134" s="32">
        <v>6.5</v>
      </c>
      <c r="R134" s="32">
        <v>7.9</v>
      </c>
      <c r="S134" s="32">
        <v>49</v>
      </c>
      <c r="T134" s="33">
        <v>2.0400000000000001E-2</v>
      </c>
      <c r="U134" s="34">
        <v>3.5000000000000001E-3</v>
      </c>
      <c r="V134" s="35">
        <v>0.65</v>
      </c>
      <c r="W134" s="16" t="s">
        <v>173</v>
      </c>
      <c r="X134" s="16" t="s">
        <v>520</v>
      </c>
    </row>
    <row r="135" spans="1:24" x14ac:dyDescent="0.3">
      <c r="A135" s="16" t="s">
        <v>551</v>
      </c>
      <c r="B135" s="16" t="s">
        <v>515</v>
      </c>
      <c r="C135" s="16" t="s">
        <v>552</v>
      </c>
      <c r="D135" s="16" t="s">
        <v>553</v>
      </c>
      <c r="E135" s="28">
        <v>4400000000119</v>
      </c>
      <c r="F135" s="16" t="s">
        <v>518</v>
      </c>
      <c r="G135" s="16" t="s">
        <v>519</v>
      </c>
      <c r="H135" s="16" t="s">
        <v>213</v>
      </c>
      <c r="I135" s="16" t="s">
        <v>178</v>
      </c>
      <c r="J135" s="16" t="s">
        <v>188</v>
      </c>
      <c r="K135" s="29">
        <v>1.282</v>
      </c>
      <c r="L135" s="16">
        <v>100</v>
      </c>
      <c r="M135" s="30">
        <v>0.03</v>
      </c>
      <c r="N135" s="31">
        <v>9.4</v>
      </c>
      <c r="O135" s="16">
        <v>500</v>
      </c>
      <c r="P135" s="16">
        <v>5000</v>
      </c>
      <c r="Q135" s="32">
        <v>6.5</v>
      </c>
      <c r="R135" s="32">
        <v>7.9</v>
      </c>
      <c r="S135" s="32">
        <v>49</v>
      </c>
      <c r="T135" s="33">
        <v>9.5999999999999992E-3</v>
      </c>
      <c r="U135" s="34">
        <v>3.5000000000000001E-3</v>
      </c>
      <c r="V135" s="35">
        <v>0.65</v>
      </c>
      <c r="W135" s="16" t="s">
        <v>173</v>
      </c>
      <c r="X135" s="16" t="s">
        <v>520</v>
      </c>
    </row>
    <row r="136" spans="1:24" x14ac:dyDescent="0.3">
      <c r="A136" s="16" t="s">
        <v>554</v>
      </c>
      <c r="B136" s="16" t="s">
        <v>515</v>
      </c>
      <c r="C136" s="16" t="s">
        <v>555</v>
      </c>
      <c r="D136" s="16" t="s">
        <v>556</v>
      </c>
      <c r="E136" s="28">
        <v>4400000000120</v>
      </c>
      <c r="F136" s="16" t="s">
        <v>518</v>
      </c>
      <c r="G136" s="16" t="s">
        <v>557</v>
      </c>
      <c r="H136" s="16" t="s">
        <v>170</v>
      </c>
      <c r="I136" s="16" t="s">
        <v>171</v>
      </c>
      <c r="J136" s="16" t="s">
        <v>184</v>
      </c>
      <c r="K136" s="29">
        <v>1.645</v>
      </c>
      <c r="L136" s="16">
        <v>100</v>
      </c>
      <c r="M136" s="30">
        <v>0.03</v>
      </c>
      <c r="N136" s="31">
        <v>9.4</v>
      </c>
      <c r="O136" s="16">
        <v>500</v>
      </c>
      <c r="P136" s="16">
        <v>5000</v>
      </c>
      <c r="Q136" s="32">
        <v>6.5</v>
      </c>
      <c r="R136" s="32">
        <v>7.9</v>
      </c>
      <c r="S136" s="32">
        <v>49</v>
      </c>
      <c r="T136" s="33">
        <v>0.10335999999999999</v>
      </c>
      <c r="U136" s="34">
        <v>3.5000000000000001E-3</v>
      </c>
      <c r="V136" s="35">
        <v>0.65</v>
      </c>
      <c r="W136" s="16" t="s">
        <v>173</v>
      </c>
      <c r="X136" s="16" t="s">
        <v>520</v>
      </c>
    </row>
    <row r="137" spans="1:24" x14ac:dyDescent="0.3">
      <c r="A137" s="16" t="s">
        <v>558</v>
      </c>
      <c r="B137" s="16" t="s">
        <v>515</v>
      </c>
      <c r="C137" s="16" t="s">
        <v>559</v>
      </c>
      <c r="D137" s="16" t="s">
        <v>560</v>
      </c>
      <c r="E137" s="28">
        <v>4400000000121</v>
      </c>
      <c r="F137" s="16" t="s">
        <v>518</v>
      </c>
      <c r="G137" s="16" t="s">
        <v>557</v>
      </c>
      <c r="H137" s="16" t="s">
        <v>170</v>
      </c>
      <c r="I137" s="16" t="s">
        <v>178</v>
      </c>
      <c r="J137" s="16" t="s">
        <v>179</v>
      </c>
      <c r="K137" s="29">
        <v>1.645</v>
      </c>
      <c r="L137" s="16">
        <v>100</v>
      </c>
      <c r="M137" s="30">
        <v>0.03</v>
      </c>
      <c r="N137" s="31">
        <v>9.4</v>
      </c>
      <c r="O137" s="16">
        <v>500</v>
      </c>
      <c r="P137" s="16">
        <v>5000</v>
      </c>
      <c r="Q137" s="32">
        <v>6.5</v>
      </c>
      <c r="R137" s="32">
        <v>7.9</v>
      </c>
      <c r="S137" s="32">
        <v>49</v>
      </c>
      <c r="T137" s="33">
        <v>4.8640000000000003E-2</v>
      </c>
      <c r="U137" s="34">
        <v>3.5000000000000001E-3</v>
      </c>
      <c r="V137" s="35">
        <v>0.65</v>
      </c>
      <c r="W137" s="16" t="s">
        <v>173</v>
      </c>
      <c r="X137" s="16" t="s">
        <v>520</v>
      </c>
    </row>
    <row r="138" spans="1:24" x14ac:dyDescent="0.3">
      <c r="A138" s="16" t="s">
        <v>561</v>
      </c>
      <c r="B138" s="16" t="s">
        <v>515</v>
      </c>
      <c r="C138" s="16" t="s">
        <v>562</v>
      </c>
      <c r="D138" s="16" t="s">
        <v>563</v>
      </c>
      <c r="E138" s="28">
        <v>4400000000122</v>
      </c>
      <c r="F138" s="16" t="s">
        <v>518</v>
      </c>
      <c r="G138" s="16" t="s">
        <v>557</v>
      </c>
      <c r="H138" s="16" t="s">
        <v>183</v>
      </c>
      <c r="I138" s="16" t="s">
        <v>171</v>
      </c>
      <c r="J138" s="16" t="s">
        <v>179</v>
      </c>
      <c r="K138" s="29">
        <v>1.645</v>
      </c>
      <c r="L138" s="16">
        <v>100</v>
      </c>
      <c r="M138" s="30">
        <v>0.03</v>
      </c>
      <c r="N138" s="31">
        <v>9.4</v>
      </c>
      <c r="O138" s="16">
        <v>500</v>
      </c>
      <c r="P138" s="16">
        <v>5000</v>
      </c>
      <c r="Q138" s="32">
        <v>6.5</v>
      </c>
      <c r="R138" s="32">
        <v>7.9</v>
      </c>
      <c r="S138" s="32">
        <v>49</v>
      </c>
      <c r="T138" s="33">
        <v>6.5280000000000005E-2</v>
      </c>
      <c r="U138" s="34">
        <v>3.5000000000000001E-3</v>
      </c>
      <c r="V138" s="35">
        <v>0.65</v>
      </c>
      <c r="W138" s="16" t="s">
        <v>173</v>
      </c>
      <c r="X138" s="16" t="s">
        <v>520</v>
      </c>
    </row>
    <row r="139" spans="1:24" x14ac:dyDescent="0.3">
      <c r="A139" s="16" t="s">
        <v>564</v>
      </c>
      <c r="B139" s="16" t="s">
        <v>515</v>
      </c>
      <c r="C139" s="16" t="s">
        <v>565</v>
      </c>
      <c r="D139" s="16" t="s">
        <v>566</v>
      </c>
      <c r="E139" s="28">
        <v>4400000000123</v>
      </c>
      <c r="F139" s="16" t="s">
        <v>518</v>
      </c>
      <c r="G139" s="16" t="s">
        <v>557</v>
      </c>
      <c r="H139" s="16" t="s">
        <v>183</v>
      </c>
      <c r="I139" s="16" t="s">
        <v>178</v>
      </c>
      <c r="J139" s="16" t="s">
        <v>188</v>
      </c>
      <c r="K139" s="29">
        <v>1.282</v>
      </c>
      <c r="L139" s="16">
        <v>100</v>
      </c>
      <c r="M139" s="30">
        <v>0.03</v>
      </c>
      <c r="N139" s="31">
        <v>9.4</v>
      </c>
      <c r="O139" s="16">
        <v>500</v>
      </c>
      <c r="P139" s="16">
        <v>5000</v>
      </c>
      <c r="Q139" s="32">
        <v>6.5</v>
      </c>
      <c r="R139" s="32">
        <v>7.9</v>
      </c>
      <c r="S139" s="32">
        <v>49</v>
      </c>
      <c r="T139" s="33">
        <v>3.0720000000000001E-2</v>
      </c>
      <c r="U139" s="34">
        <v>3.5000000000000001E-3</v>
      </c>
      <c r="V139" s="35">
        <v>0.65</v>
      </c>
      <c r="W139" s="16" t="s">
        <v>173</v>
      </c>
      <c r="X139" s="16" t="s">
        <v>520</v>
      </c>
    </row>
    <row r="140" spans="1:24" x14ac:dyDescent="0.3">
      <c r="A140" s="16" t="s">
        <v>567</v>
      </c>
      <c r="B140" s="16" t="s">
        <v>515</v>
      </c>
      <c r="C140" s="16" t="s">
        <v>568</v>
      </c>
      <c r="D140" s="16" t="s">
        <v>569</v>
      </c>
      <c r="E140" s="28">
        <v>4400000000124</v>
      </c>
      <c r="F140" s="16" t="s">
        <v>518</v>
      </c>
      <c r="G140" s="16" t="s">
        <v>557</v>
      </c>
      <c r="H140" s="16" t="s">
        <v>192</v>
      </c>
      <c r="I140" s="16" t="s">
        <v>171</v>
      </c>
      <c r="J140" s="16" t="s">
        <v>188</v>
      </c>
      <c r="K140" s="29">
        <v>1.282</v>
      </c>
      <c r="L140" s="16">
        <v>100</v>
      </c>
      <c r="M140" s="30">
        <v>0.03</v>
      </c>
      <c r="N140" s="31">
        <v>9.4</v>
      </c>
      <c r="O140" s="16">
        <v>500</v>
      </c>
      <c r="P140" s="16">
        <v>5000</v>
      </c>
      <c r="Q140" s="32">
        <v>6.5</v>
      </c>
      <c r="R140" s="32">
        <v>7.9</v>
      </c>
      <c r="S140" s="32">
        <v>49</v>
      </c>
      <c r="T140" s="33">
        <v>3.8080000000000003E-2</v>
      </c>
      <c r="U140" s="34">
        <v>3.5000000000000001E-3</v>
      </c>
      <c r="V140" s="35">
        <v>0.65</v>
      </c>
      <c r="W140" s="16" t="s">
        <v>173</v>
      </c>
      <c r="X140" s="16" t="s">
        <v>520</v>
      </c>
    </row>
    <row r="141" spans="1:24" x14ac:dyDescent="0.3">
      <c r="A141" s="16" t="s">
        <v>570</v>
      </c>
      <c r="B141" s="16" t="s">
        <v>515</v>
      </c>
      <c r="C141" s="16" t="s">
        <v>571</v>
      </c>
      <c r="D141" s="16" t="s">
        <v>572</v>
      </c>
      <c r="E141" s="28">
        <v>4400000000125</v>
      </c>
      <c r="F141" s="16" t="s">
        <v>518</v>
      </c>
      <c r="G141" s="16" t="s">
        <v>557</v>
      </c>
      <c r="H141" s="16" t="s">
        <v>192</v>
      </c>
      <c r="I141" s="16" t="s">
        <v>178</v>
      </c>
      <c r="J141" s="16" t="s">
        <v>188</v>
      </c>
      <c r="K141" s="29">
        <v>1.282</v>
      </c>
      <c r="L141" s="16">
        <v>100</v>
      </c>
      <c r="M141" s="30">
        <v>0.03</v>
      </c>
      <c r="N141" s="31">
        <v>9.4</v>
      </c>
      <c r="O141" s="16">
        <v>500</v>
      </c>
      <c r="P141" s="16">
        <v>5000</v>
      </c>
      <c r="Q141" s="32">
        <v>6.5</v>
      </c>
      <c r="R141" s="32">
        <v>7.9</v>
      </c>
      <c r="S141" s="32">
        <v>49</v>
      </c>
      <c r="T141" s="33">
        <v>1.7919999999999998E-2</v>
      </c>
      <c r="U141" s="34">
        <v>3.5000000000000001E-3</v>
      </c>
      <c r="V141" s="35">
        <v>0.65</v>
      </c>
      <c r="W141" s="16" t="s">
        <v>173</v>
      </c>
      <c r="X141" s="16" t="s">
        <v>520</v>
      </c>
    </row>
    <row r="142" spans="1:24" x14ac:dyDescent="0.3">
      <c r="A142" s="16" t="s">
        <v>573</v>
      </c>
      <c r="B142" s="16" t="s">
        <v>515</v>
      </c>
      <c r="C142" s="16" t="s">
        <v>574</v>
      </c>
      <c r="D142" s="16" t="s">
        <v>575</v>
      </c>
      <c r="E142" s="28">
        <v>4400000000126</v>
      </c>
      <c r="F142" s="16" t="s">
        <v>518</v>
      </c>
      <c r="G142" s="16" t="s">
        <v>557</v>
      </c>
      <c r="H142" s="16" t="s">
        <v>199</v>
      </c>
      <c r="I142" s="16" t="s">
        <v>171</v>
      </c>
      <c r="J142" s="16" t="s">
        <v>188</v>
      </c>
      <c r="K142" s="29">
        <v>1.282</v>
      </c>
      <c r="L142" s="16">
        <v>100</v>
      </c>
      <c r="M142" s="30">
        <v>0.03</v>
      </c>
      <c r="N142" s="31">
        <v>9.4</v>
      </c>
      <c r="O142" s="16">
        <v>500</v>
      </c>
      <c r="P142" s="16">
        <v>5000</v>
      </c>
      <c r="Q142" s="32">
        <v>6.5</v>
      </c>
      <c r="R142" s="32">
        <v>7.9</v>
      </c>
      <c r="S142" s="32">
        <v>49</v>
      </c>
      <c r="T142" s="33">
        <v>2.9919999999999999E-2</v>
      </c>
      <c r="U142" s="34">
        <v>3.5000000000000001E-3</v>
      </c>
      <c r="V142" s="35">
        <v>0.65</v>
      </c>
      <c r="W142" s="16" t="s">
        <v>173</v>
      </c>
      <c r="X142" s="16" t="s">
        <v>520</v>
      </c>
    </row>
    <row r="143" spans="1:24" x14ac:dyDescent="0.3">
      <c r="A143" s="16" t="s">
        <v>576</v>
      </c>
      <c r="B143" s="16" t="s">
        <v>515</v>
      </c>
      <c r="C143" s="16" t="s">
        <v>577</v>
      </c>
      <c r="D143" s="16" t="s">
        <v>578</v>
      </c>
      <c r="E143" s="28">
        <v>4400000000127</v>
      </c>
      <c r="F143" s="16" t="s">
        <v>518</v>
      </c>
      <c r="G143" s="16" t="s">
        <v>557</v>
      </c>
      <c r="H143" s="16" t="s">
        <v>199</v>
      </c>
      <c r="I143" s="16" t="s">
        <v>178</v>
      </c>
      <c r="J143" s="16" t="s">
        <v>188</v>
      </c>
      <c r="K143" s="29">
        <v>1.282</v>
      </c>
      <c r="L143" s="16">
        <v>100</v>
      </c>
      <c r="M143" s="30">
        <v>0.03</v>
      </c>
      <c r="N143" s="31">
        <v>9.4</v>
      </c>
      <c r="O143" s="16">
        <v>500</v>
      </c>
      <c r="P143" s="16">
        <v>5000</v>
      </c>
      <c r="Q143" s="32">
        <v>6.5</v>
      </c>
      <c r="R143" s="32">
        <v>7.9</v>
      </c>
      <c r="S143" s="32">
        <v>49</v>
      </c>
      <c r="T143" s="33">
        <v>1.4080000000000001E-2</v>
      </c>
      <c r="U143" s="34">
        <v>3.5000000000000001E-3</v>
      </c>
      <c r="V143" s="35">
        <v>0.65</v>
      </c>
      <c r="W143" s="16" t="s">
        <v>173</v>
      </c>
      <c r="X143" s="16" t="s">
        <v>520</v>
      </c>
    </row>
    <row r="144" spans="1:24" x14ac:dyDescent="0.3">
      <c r="A144" s="16" t="s">
        <v>579</v>
      </c>
      <c r="B144" s="16" t="s">
        <v>515</v>
      </c>
      <c r="C144" s="16" t="s">
        <v>580</v>
      </c>
      <c r="D144" s="16" t="s">
        <v>581</v>
      </c>
      <c r="E144" s="28">
        <v>4400000000128</v>
      </c>
      <c r="F144" s="16" t="s">
        <v>518</v>
      </c>
      <c r="G144" s="16" t="s">
        <v>557</v>
      </c>
      <c r="H144" s="16" t="s">
        <v>206</v>
      </c>
      <c r="I144" s="16" t="s">
        <v>171</v>
      </c>
      <c r="J144" s="16" t="s">
        <v>188</v>
      </c>
      <c r="K144" s="29">
        <v>1.282</v>
      </c>
      <c r="L144" s="16">
        <v>100</v>
      </c>
      <c r="M144" s="30">
        <v>0.03</v>
      </c>
      <c r="N144" s="31">
        <v>9.4</v>
      </c>
      <c r="O144" s="16">
        <v>500</v>
      </c>
      <c r="P144" s="16">
        <v>5000</v>
      </c>
      <c r="Q144" s="32">
        <v>6.5</v>
      </c>
      <c r="R144" s="32">
        <v>7.9</v>
      </c>
      <c r="S144" s="32">
        <v>49</v>
      </c>
      <c r="T144" s="33">
        <v>2.1760000000000002E-2</v>
      </c>
      <c r="U144" s="34">
        <v>3.5000000000000001E-3</v>
      </c>
      <c r="V144" s="35">
        <v>0.65</v>
      </c>
      <c r="W144" s="16" t="s">
        <v>173</v>
      </c>
      <c r="X144" s="16" t="s">
        <v>520</v>
      </c>
    </row>
    <row r="145" spans="1:24" x14ac:dyDescent="0.3">
      <c r="A145" s="16" t="s">
        <v>582</v>
      </c>
      <c r="B145" s="16" t="s">
        <v>515</v>
      </c>
      <c r="C145" s="16" t="s">
        <v>583</v>
      </c>
      <c r="D145" s="16" t="s">
        <v>584</v>
      </c>
      <c r="E145" s="28">
        <v>4400000000129</v>
      </c>
      <c r="F145" s="16" t="s">
        <v>518</v>
      </c>
      <c r="G145" s="16" t="s">
        <v>557</v>
      </c>
      <c r="H145" s="16" t="s">
        <v>206</v>
      </c>
      <c r="I145" s="16" t="s">
        <v>178</v>
      </c>
      <c r="J145" s="16" t="s">
        <v>188</v>
      </c>
      <c r="K145" s="29">
        <v>1.282</v>
      </c>
      <c r="L145" s="16">
        <v>100</v>
      </c>
      <c r="M145" s="30">
        <v>0.03</v>
      </c>
      <c r="N145" s="31">
        <v>9.4</v>
      </c>
      <c r="O145" s="16">
        <v>500</v>
      </c>
      <c r="P145" s="16">
        <v>5000</v>
      </c>
      <c r="Q145" s="32">
        <v>6.5</v>
      </c>
      <c r="R145" s="32">
        <v>7.9</v>
      </c>
      <c r="S145" s="32">
        <v>49</v>
      </c>
      <c r="T145" s="33">
        <v>1.0240000000000001E-2</v>
      </c>
      <c r="U145" s="34">
        <v>3.5000000000000001E-3</v>
      </c>
      <c r="V145" s="35">
        <v>0.65</v>
      </c>
      <c r="W145" s="16" t="s">
        <v>173</v>
      </c>
      <c r="X145" s="16" t="s">
        <v>520</v>
      </c>
    </row>
    <row r="146" spans="1:24" x14ac:dyDescent="0.3">
      <c r="A146" s="16" t="s">
        <v>585</v>
      </c>
      <c r="B146" s="16" t="s">
        <v>515</v>
      </c>
      <c r="C146" s="16" t="s">
        <v>586</v>
      </c>
      <c r="D146" s="16" t="s">
        <v>587</v>
      </c>
      <c r="E146" s="28">
        <v>4400000000130</v>
      </c>
      <c r="F146" s="16" t="s">
        <v>518</v>
      </c>
      <c r="G146" s="16" t="s">
        <v>557</v>
      </c>
      <c r="H146" s="16" t="s">
        <v>213</v>
      </c>
      <c r="I146" s="16" t="s">
        <v>171</v>
      </c>
      <c r="J146" s="16" t="s">
        <v>188</v>
      </c>
      <c r="K146" s="29">
        <v>1.282</v>
      </c>
      <c r="L146" s="16">
        <v>100</v>
      </c>
      <c r="M146" s="30">
        <v>0.03</v>
      </c>
      <c r="N146" s="31">
        <v>9.4</v>
      </c>
      <c r="O146" s="16">
        <v>500</v>
      </c>
      <c r="P146" s="16">
        <v>5000</v>
      </c>
      <c r="Q146" s="32">
        <v>6.5</v>
      </c>
      <c r="R146" s="32">
        <v>7.9</v>
      </c>
      <c r="S146" s="32">
        <v>49</v>
      </c>
      <c r="T146" s="33">
        <v>1.3599999999999999E-2</v>
      </c>
      <c r="U146" s="34">
        <v>3.5000000000000001E-3</v>
      </c>
      <c r="V146" s="35">
        <v>0.65</v>
      </c>
      <c r="W146" s="16" t="s">
        <v>173</v>
      </c>
      <c r="X146" s="16" t="s">
        <v>520</v>
      </c>
    </row>
    <row r="147" spans="1:24" x14ac:dyDescent="0.3">
      <c r="A147" s="16" t="s">
        <v>588</v>
      </c>
      <c r="B147" s="16" t="s">
        <v>515</v>
      </c>
      <c r="C147" s="16" t="s">
        <v>589</v>
      </c>
      <c r="D147" s="16" t="s">
        <v>590</v>
      </c>
      <c r="E147" s="28">
        <v>4400000000131</v>
      </c>
      <c r="F147" s="16" t="s">
        <v>518</v>
      </c>
      <c r="G147" s="16" t="s">
        <v>557</v>
      </c>
      <c r="H147" s="16" t="s">
        <v>213</v>
      </c>
      <c r="I147" s="16" t="s">
        <v>178</v>
      </c>
      <c r="J147" s="16" t="s">
        <v>188</v>
      </c>
      <c r="K147" s="29">
        <v>1.282</v>
      </c>
      <c r="L147" s="16">
        <v>100</v>
      </c>
      <c r="M147" s="30">
        <v>0.03</v>
      </c>
      <c r="N147" s="31">
        <v>9.4</v>
      </c>
      <c r="O147" s="16">
        <v>500</v>
      </c>
      <c r="P147" s="16">
        <v>5000</v>
      </c>
      <c r="Q147" s="32">
        <v>6.5</v>
      </c>
      <c r="R147" s="32">
        <v>7.9</v>
      </c>
      <c r="S147" s="32">
        <v>49</v>
      </c>
      <c r="T147" s="33">
        <v>6.4000000000000003E-3</v>
      </c>
      <c r="U147" s="34">
        <v>3.5000000000000001E-3</v>
      </c>
      <c r="V147" s="35">
        <v>0.65</v>
      </c>
      <c r="W147" s="16" t="s">
        <v>173</v>
      </c>
      <c r="X147" s="16" t="s">
        <v>520</v>
      </c>
    </row>
    <row r="148" spans="1:24" x14ac:dyDescent="0.3">
      <c r="A148" s="16" t="s">
        <v>591</v>
      </c>
      <c r="B148" s="16" t="s">
        <v>592</v>
      </c>
      <c r="C148" s="16" t="s">
        <v>593</v>
      </c>
      <c r="D148" s="16" t="s">
        <v>594</v>
      </c>
      <c r="E148" s="28">
        <v>4400000000132</v>
      </c>
      <c r="F148" s="16" t="s">
        <v>595</v>
      </c>
      <c r="G148" s="16" t="s">
        <v>596</v>
      </c>
      <c r="H148" s="16" t="s">
        <v>170</v>
      </c>
      <c r="I148" s="16" t="s">
        <v>597</v>
      </c>
      <c r="J148" s="16" t="s">
        <v>184</v>
      </c>
      <c r="K148" s="29">
        <v>1.645</v>
      </c>
      <c r="L148" s="16">
        <v>50</v>
      </c>
      <c r="M148" s="30">
        <v>9.9000000000000005E-2</v>
      </c>
      <c r="N148" s="31">
        <v>14.6</v>
      </c>
      <c r="O148" s="16">
        <v>300</v>
      </c>
      <c r="P148" s="16">
        <v>5000</v>
      </c>
      <c r="Q148" s="32">
        <v>8.1999999999999993</v>
      </c>
      <c r="R148" s="32">
        <v>9.6</v>
      </c>
      <c r="S148" s="32">
        <v>58</v>
      </c>
      <c r="T148" s="33">
        <v>0.236563</v>
      </c>
      <c r="U148" s="34">
        <v>1.2E-2</v>
      </c>
      <c r="V148" s="35">
        <v>0.55000000000000004</v>
      </c>
      <c r="W148" s="16" t="s">
        <v>173</v>
      </c>
      <c r="X148" s="16" t="s">
        <v>598</v>
      </c>
    </row>
    <row r="149" spans="1:24" x14ac:dyDescent="0.3">
      <c r="A149" s="16" t="s">
        <v>599</v>
      </c>
      <c r="B149" s="16" t="s">
        <v>592</v>
      </c>
      <c r="C149" s="16" t="s">
        <v>600</v>
      </c>
      <c r="D149" s="16" t="s">
        <v>601</v>
      </c>
      <c r="E149" s="28">
        <v>4400000000133</v>
      </c>
      <c r="F149" s="16" t="s">
        <v>595</v>
      </c>
      <c r="G149" s="16" t="s">
        <v>596</v>
      </c>
      <c r="H149" s="16" t="s">
        <v>170</v>
      </c>
      <c r="I149" s="16" t="s">
        <v>602</v>
      </c>
      <c r="J149" s="16" t="s">
        <v>184</v>
      </c>
      <c r="K149" s="29">
        <v>1.645</v>
      </c>
      <c r="L149" s="16">
        <v>50</v>
      </c>
      <c r="M149" s="30">
        <v>9.9000000000000005E-2</v>
      </c>
      <c r="N149" s="31">
        <v>14.6</v>
      </c>
      <c r="O149" s="16">
        <v>300</v>
      </c>
      <c r="P149" s="16">
        <v>5000</v>
      </c>
      <c r="Q149" s="32">
        <v>8.1999999999999993</v>
      </c>
      <c r="R149" s="32">
        <v>9.6</v>
      </c>
      <c r="S149" s="32">
        <v>58</v>
      </c>
      <c r="T149" s="33">
        <v>0.11132400000000001</v>
      </c>
      <c r="U149" s="34">
        <v>1.2E-2</v>
      </c>
      <c r="V149" s="35">
        <v>0.55000000000000004</v>
      </c>
      <c r="W149" s="16" t="s">
        <v>173</v>
      </c>
      <c r="X149" s="16" t="s">
        <v>598</v>
      </c>
    </row>
    <row r="150" spans="1:24" x14ac:dyDescent="0.3">
      <c r="A150" s="16" t="s">
        <v>603</v>
      </c>
      <c r="B150" s="16" t="s">
        <v>592</v>
      </c>
      <c r="C150" s="16" t="s">
        <v>604</v>
      </c>
      <c r="D150" s="16" t="s">
        <v>605</v>
      </c>
      <c r="E150" s="28">
        <v>4400000000134</v>
      </c>
      <c r="F150" s="16" t="s">
        <v>595</v>
      </c>
      <c r="G150" s="16" t="s">
        <v>596</v>
      </c>
      <c r="H150" s="16" t="s">
        <v>183</v>
      </c>
      <c r="I150" s="16" t="s">
        <v>597</v>
      </c>
      <c r="J150" s="16" t="s">
        <v>184</v>
      </c>
      <c r="K150" s="29">
        <v>1.645</v>
      </c>
      <c r="L150" s="16">
        <v>50</v>
      </c>
      <c r="M150" s="30">
        <v>9.9000000000000005E-2</v>
      </c>
      <c r="N150" s="31">
        <v>14.6</v>
      </c>
      <c r="O150" s="16">
        <v>300</v>
      </c>
      <c r="P150" s="16">
        <v>5000</v>
      </c>
      <c r="Q150" s="32">
        <v>8.1999999999999993</v>
      </c>
      <c r="R150" s="32">
        <v>9.6</v>
      </c>
      <c r="S150" s="32">
        <v>58</v>
      </c>
      <c r="T150" s="33">
        <v>8.7154999999999996E-2</v>
      </c>
      <c r="U150" s="34">
        <v>1.2E-2</v>
      </c>
      <c r="V150" s="35">
        <v>0.55000000000000004</v>
      </c>
      <c r="W150" s="16" t="s">
        <v>173</v>
      </c>
      <c r="X150" s="16" t="s">
        <v>598</v>
      </c>
    </row>
    <row r="151" spans="1:24" x14ac:dyDescent="0.3">
      <c r="A151" s="16" t="s">
        <v>606</v>
      </c>
      <c r="B151" s="16" t="s">
        <v>592</v>
      </c>
      <c r="C151" s="16" t="s">
        <v>607</v>
      </c>
      <c r="D151" s="16" t="s">
        <v>608</v>
      </c>
      <c r="E151" s="28">
        <v>4400000000135</v>
      </c>
      <c r="F151" s="16" t="s">
        <v>595</v>
      </c>
      <c r="G151" s="16" t="s">
        <v>596</v>
      </c>
      <c r="H151" s="16" t="s">
        <v>183</v>
      </c>
      <c r="I151" s="16" t="s">
        <v>602</v>
      </c>
      <c r="J151" s="16" t="s">
        <v>179</v>
      </c>
      <c r="K151" s="29">
        <v>1.645</v>
      </c>
      <c r="L151" s="16">
        <v>50</v>
      </c>
      <c r="M151" s="30">
        <v>9.9000000000000005E-2</v>
      </c>
      <c r="N151" s="31">
        <v>14.6</v>
      </c>
      <c r="O151" s="16">
        <v>300</v>
      </c>
      <c r="P151" s="16">
        <v>5000</v>
      </c>
      <c r="Q151" s="32">
        <v>8.1999999999999993</v>
      </c>
      <c r="R151" s="32">
        <v>9.6</v>
      </c>
      <c r="S151" s="32">
        <v>58</v>
      </c>
      <c r="T151" s="33">
        <v>4.1014000000000002E-2</v>
      </c>
      <c r="U151" s="34">
        <v>1.2E-2</v>
      </c>
      <c r="V151" s="35">
        <v>0.55000000000000004</v>
      </c>
      <c r="W151" s="16" t="s">
        <v>173</v>
      </c>
      <c r="X151" s="16" t="s">
        <v>598</v>
      </c>
    </row>
    <row r="152" spans="1:24" x14ac:dyDescent="0.3">
      <c r="A152" s="16" t="s">
        <v>609</v>
      </c>
      <c r="B152" s="16" t="s">
        <v>592</v>
      </c>
      <c r="C152" s="16" t="s">
        <v>610</v>
      </c>
      <c r="D152" s="16" t="s">
        <v>611</v>
      </c>
      <c r="E152" s="28">
        <v>4400000000136</v>
      </c>
      <c r="F152" s="16" t="s">
        <v>595</v>
      </c>
      <c r="G152" s="16" t="s">
        <v>596</v>
      </c>
      <c r="H152" s="16" t="s">
        <v>192</v>
      </c>
      <c r="I152" s="16" t="s">
        <v>597</v>
      </c>
      <c r="J152" s="16" t="s">
        <v>184</v>
      </c>
      <c r="K152" s="29">
        <v>1.645</v>
      </c>
      <c r="L152" s="16">
        <v>50</v>
      </c>
      <c r="M152" s="30">
        <v>9.9000000000000005E-2</v>
      </c>
      <c r="N152" s="31">
        <v>14.6</v>
      </c>
      <c r="O152" s="16">
        <v>300</v>
      </c>
      <c r="P152" s="16">
        <v>5000</v>
      </c>
      <c r="Q152" s="32">
        <v>8.1999999999999993</v>
      </c>
      <c r="R152" s="32">
        <v>9.6</v>
      </c>
      <c r="S152" s="32">
        <v>58</v>
      </c>
      <c r="T152" s="33">
        <v>6.8478999999999998E-2</v>
      </c>
      <c r="U152" s="34">
        <v>1.2E-2</v>
      </c>
      <c r="V152" s="35">
        <v>0.55000000000000004</v>
      </c>
      <c r="W152" s="16" t="s">
        <v>173</v>
      </c>
      <c r="X152" s="16" t="s">
        <v>598</v>
      </c>
    </row>
    <row r="153" spans="1:24" x14ac:dyDescent="0.3">
      <c r="A153" s="16" t="s">
        <v>612</v>
      </c>
      <c r="B153" s="16" t="s">
        <v>592</v>
      </c>
      <c r="C153" s="16" t="s">
        <v>613</v>
      </c>
      <c r="D153" s="16" t="s">
        <v>614</v>
      </c>
      <c r="E153" s="28">
        <v>4400000000137</v>
      </c>
      <c r="F153" s="16" t="s">
        <v>595</v>
      </c>
      <c r="G153" s="16" t="s">
        <v>596</v>
      </c>
      <c r="H153" s="16" t="s">
        <v>192</v>
      </c>
      <c r="I153" s="16" t="s">
        <v>602</v>
      </c>
      <c r="J153" s="16" t="s">
        <v>188</v>
      </c>
      <c r="K153" s="29">
        <v>1.282</v>
      </c>
      <c r="L153" s="16">
        <v>50</v>
      </c>
      <c r="M153" s="30">
        <v>9.9000000000000005E-2</v>
      </c>
      <c r="N153" s="31">
        <v>14.6</v>
      </c>
      <c r="O153" s="16">
        <v>300</v>
      </c>
      <c r="P153" s="16">
        <v>5000</v>
      </c>
      <c r="Q153" s="32">
        <v>8.1999999999999993</v>
      </c>
      <c r="R153" s="32">
        <v>9.6</v>
      </c>
      <c r="S153" s="32">
        <v>58</v>
      </c>
      <c r="T153" s="33">
        <v>3.2224999999999997E-2</v>
      </c>
      <c r="U153" s="34">
        <v>1.2E-2</v>
      </c>
      <c r="V153" s="35">
        <v>0.55000000000000004</v>
      </c>
      <c r="W153" s="16" t="s">
        <v>173</v>
      </c>
      <c r="X153" s="16" t="s">
        <v>598</v>
      </c>
    </row>
    <row r="154" spans="1:24" x14ac:dyDescent="0.3">
      <c r="A154" s="16" t="s">
        <v>615</v>
      </c>
      <c r="B154" s="16" t="s">
        <v>592</v>
      </c>
      <c r="C154" s="16" t="s">
        <v>616</v>
      </c>
      <c r="D154" s="16" t="s">
        <v>617</v>
      </c>
      <c r="E154" s="28">
        <v>4400000000138</v>
      </c>
      <c r="F154" s="16" t="s">
        <v>595</v>
      </c>
      <c r="G154" s="16" t="s">
        <v>596</v>
      </c>
      <c r="H154" s="16" t="s">
        <v>206</v>
      </c>
      <c r="I154" s="16" t="s">
        <v>597</v>
      </c>
      <c r="J154" s="16" t="s">
        <v>184</v>
      </c>
      <c r="K154" s="29">
        <v>1.645</v>
      </c>
      <c r="L154" s="16">
        <v>50</v>
      </c>
      <c r="M154" s="30">
        <v>9.9000000000000005E-2</v>
      </c>
      <c r="N154" s="31">
        <v>14.6</v>
      </c>
      <c r="O154" s="16">
        <v>300</v>
      </c>
      <c r="P154" s="16">
        <v>5000</v>
      </c>
      <c r="Q154" s="32">
        <v>8.1999999999999993</v>
      </c>
      <c r="R154" s="32">
        <v>9.6</v>
      </c>
      <c r="S154" s="32">
        <v>58</v>
      </c>
      <c r="T154" s="33">
        <v>4.9803E-2</v>
      </c>
      <c r="U154" s="34">
        <v>1.2E-2</v>
      </c>
      <c r="V154" s="35">
        <v>0.55000000000000004</v>
      </c>
      <c r="W154" s="16" t="s">
        <v>173</v>
      </c>
      <c r="X154" s="16" t="s">
        <v>598</v>
      </c>
    </row>
    <row r="155" spans="1:24" x14ac:dyDescent="0.3">
      <c r="A155" s="16" t="s">
        <v>618</v>
      </c>
      <c r="B155" s="16" t="s">
        <v>592</v>
      </c>
      <c r="C155" s="16" t="s">
        <v>619</v>
      </c>
      <c r="D155" s="16" t="s">
        <v>620</v>
      </c>
      <c r="E155" s="28">
        <v>4400000000139</v>
      </c>
      <c r="F155" s="16" t="s">
        <v>595</v>
      </c>
      <c r="G155" s="16" t="s">
        <v>596</v>
      </c>
      <c r="H155" s="16" t="s">
        <v>206</v>
      </c>
      <c r="I155" s="16" t="s">
        <v>602</v>
      </c>
      <c r="J155" s="16" t="s">
        <v>188</v>
      </c>
      <c r="K155" s="29">
        <v>1.282</v>
      </c>
      <c r="L155" s="16">
        <v>50</v>
      </c>
      <c r="M155" s="30">
        <v>9.9000000000000005E-2</v>
      </c>
      <c r="N155" s="31">
        <v>14.6</v>
      </c>
      <c r="O155" s="16">
        <v>300</v>
      </c>
      <c r="P155" s="16">
        <v>5000</v>
      </c>
      <c r="Q155" s="32">
        <v>8.1999999999999993</v>
      </c>
      <c r="R155" s="32">
        <v>9.6</v>
      </c>
      <c r="S155" s="32">
        <v>58</v>
      </c>
      <c r="T155" s="33">
        <v>2.3436999999999999E-2</v>
      </c>
      <c r="U155" s="34">
        <v>1.2E-2</v>
      </c>
      <c r="V155" s="35">
        <v>0.55000000000000004</v>
      </c>
      <c r="W155" s="16" t="s">
        <v>173</v>
      </c>
      <c r="X155" s="16" t="s">
        <v>598</v>
      </c>
    </row>
    <row r="156" spans="1:24" x14ac:dyDescent="0.3">
      <c r="A156" s="16" t="s">
        <v>621</v>
      </c>
      <c r="B156" s="16" t="s">
        <v>592</v>
      </c>
      <c r="C156" s="16" t="s">
        <v>622</v>
      </c>
      <c r="D156" s="16" t="s">
        <v>623</v>
      </c>
      <c r="E156" s="28">
        <v>4400000000140</v>
      </c>
      <c r="F156" s="16" t="s">
        <v>595</v>
      </c>
      <c r="G156" s="16" t="s">
        <v>557</v>
      </c>
      <c r="H156" s="16" t="s">
        <v>170</v>
      </c>
      <c r="I156" s="16" t="s">
        <v>597</v>
      </c>
      <c r="J156" s="16" t="s">
        <v>184</v>
      </c>
      <c r="K156" s="29">
        <v>1.645</v>
      </c>
      <c r="L156" s="16">
        <v>50</v>
      </c>
      <c r="M156" s="30">
        <v>9.9000000000000005E-2</v>
      </c>
      <c r="N156" s="31">
        <v>14.6</v>
      </c>
      <c r="O156" s="16">
        <v>300</v>
      </c>
      <c r="P156" s="16">
        <v>5000</v>
      </c>
      <c r="Q156" s="32">
        <v>8.1999999999999993</v>
      </c>
      <c r="R156" s="32">
        <v>9.6</v>
      </c>
      <c r="S156" s="32">
        <v>58</v>
      </c>
      <c r="T156" s="33">
        <v>0.12737999999999999</v>
      </c>
      <c r="U156" s="34">
        <v>1.2E-2</v>
      </c>
      <c r="V156" s="35">
        <v>0.55000000000000004</v>
      </c>
      <c r="W156" s="16" t="s">
        <v>173</v>
      </c>
      <c r="X156" s="16" t="s">
        <v>598</v>
      </c>
    </row>
    <row r="157" spans="1:24" x14ac:dyDescent="0.3">
      <c r="A157" s="16" t="s">
        <v>624</v>
      </c>
      <c r="B157" s="16" t="s">
        <v>592</v>
      </c>
      <c r="C157" s="16" t="s">
        <v>625</v>
      </c>
      <c r="D157" s="16" t="s">
        <v>626</v>
      </c>
      <c r="E157" s="28">
        <v>4400000000141</v>
      </c>
      <c r="F157" s="16" t="s">
        <v>595</v>
      </c>
      <c r="G157" s="16" t="s">
        <v>557</v>
      </c>
      <c r="H157" s="16" t="s">
        <v>170</v>
      </c>
      <c r="I157" s="16" t="s">
        <v>602</v>
      </c>
      <c r="J157" s="16" t="s">
        <v>184</v>
      </c>
      <c r="K157" s="29">
        <v>1.645</v>
      </c>
      <c r="L157" s="16">
        <v>50</v>
      </c>
      <c r="M157" s="30">
        <v>9.9000000000000005E-2</v>
      </c>
      <c r="N157" s="31">
        <v>14.6</v>
      </c>
      <c r="O157" s="16">
        <v>300</v>
      </c>
      <c r="P157" s="16">
        <v>5000</v>
      </c>
      <c r="Q157" s="32">
        <v>8.1999999999999993</v>
      </c>
      <c r="R157" s="32">
        <v>9.6</v>
      </c>
      <c r="S157" s="32">
        <v>58</v>
      </c>
      <c r="T157" s="33">
        <v>5.9943999999999997E-2</v>
      </c>
      <c r="U157" s="34">
        <v>1.2E-2</v>
      </c>
      <c r="V157" s="35">
        <v>0.55000000000000004</v>
      </c>
      <c r="W157" s="16" t="s">
        <v>173</v>
      </c>
      <c r="X157" s="16" t="s">
        <v>598</v>
      </c>
    </row>
    <row r="158" spans="1:24" x14ac:dyDescent="0.3">
      <c r="A158" s="16" t="s">
        <v>627</v>
      </c>
      <c r="B158" s="16" t="s">
        <v>592</v>
      </c>
      <c r="C158" s="16" t="s">
        <v>628</v>
      </c>
      <c r="D158" s="16" t="s">
        <v>629</v>
      </c>
      <c r="E158" s="28">
        <v>4400000000142</v>
      </c>
      <c r="F158" s="16" t="s">
        <v>595</v>
      </c>
      <c r="G158" s="16" t="s">
        <v>557</v>
      </c>
      <c r="H158" s="16" t="s">
        <v>183</v>
      </c>
      <c r="I158" s="16" t="s">
        <v>597</v>
      </c>
      <c r="J158" s="16" t="s">
        <v>184</v>
      </c>
      <c r="K158" s="29">
        <v>1.645</v>
      </c>
      <c r="L158" s="16">
        <v>50</v>
      </c>
      <c r="M158" s="30">
        <v>9.9000000000000005E-2</v>
      </c>
      <c r="N158" s="31">
        <v>14.6</v>
      </c>
      <c r="O158" s="16">
        <v>300</v>
      </c>
      <c r="P158" s="16">
        <v>5000</v>
      </c>
      <c r="Q158" s="32">
        <v>8.1999999999999993</v>
      </c>
      <c r="R158" s="32">
        <v>9.6</v>
      </c>
      <c r="S158" s="32">
        <v>58</v>
      </c>
      <c r="T158" s="33">
        <v>4.6929999999999999E-2</v>
      </c>
      <c r="U158" s="34">
        <v>1.2E-2</v>
      </c>
      <c r="V158" s="35">
        <v>0.55000000000000004</v>
      </c>
      <c r="W158" s="16" t="s">
        <v>173</v>
      </c>
      <c r="X158" s="16" t="s">
        <v>598</v>
      </c>
    </row>
    <row r="159" spans="1:24" x14ac:dyDescent="0.3">
      <c r="A159" s="16" t="s">
        <v>630</v>
      </c>
      <c r="B159" s="16" t="s">
        <v>592</v>
      </c>
      <c r="C159" s="16" t="s">
        <v>631</v>
      </c>
      <c r="D159" s="16" t="s">
        <v>632</v>
      </c>
      <c r="E159" s="28">
        <v>4400000000143</v>
      </c>
      <c r="F159" s="16" t="s">
        <v>595</v>
      </c>
      <c r="G159" s="16" t="s">
        <v>557</v>
      </c>
      <c r="H159" s="16" t="s">
        <v>183</v>
      </c>
      <c r="I159" s="16" t="s">
        <v>602</v>
      </c>
      <c r="J159" s="16" t="s">
        <v>188</v>
      </c>
      <c r="K159" s="29">
        <v>1.282</v>
      </c>
      <c r="L159" s="16">
        <v>50</v>
      </c>
      <c r="M159" s="30">
        <v>9.9000000000000005E-2</v>
      </c>
      <c r="N159" s="31">
        <v>14.6</v>
      </c>
      <c r="O159" s="16">
        <v>300</v>
      </c>
      <c r="P159" s="16">
        <v>5000</v>
      </c>
      <c r="Q159" s="32">
        <v>8.1999999999999993</v>
      </c>
      <c r="R159" s="32">
        <v>9.6</v>
      </c>
      <c r="S159" s="32">
        <v>58</v>
      </c>
      <c r="T159" s="33">
        <v>2.2085E-2</v>
      </c>
      <c r="U159" s="34">
        <v>1.2E-2</v>
      </c>
      <c r="V159" s="35">
        <v>0.55000000000000004</v>
      </c>
      <c r="W159" s="16" t="s">
        <v>173</v>
      </c>
      <c r="X159" s="16" t="s">
        <v>598</v>
      </c>
    </row>
    <row r="160" spans="1:24" x14ac:dyDescent="0.3">
      <c r="A160" s="16" t="s">
        <v>633</v>
      </c>
      <c r="B160" s="16" t="s">
        <v>592</v>
      </c>
      <c r="C160" s="16" t="s">
        <v>634</v>
      </c>
      <c r="D160" s="16" t="s">
        <v>635</v>
      </c>
      <c r="E160" s="28">
        <v>4400000000144</v>
      </c>
      <c r="F160" s="16" t="s">
        <v>595</v>
      </c>
      <c r="G160" s="16" t="s">
        <v>557</v>
      </c>
      <c r="H160" s="16" t="s">
        <v>192</v>
      </c>
      <c r="I160" s="16" t="s">
        <v>597</v>
      </c>
      <c r="J160" s="16" t="s">
        <v>179</v>
      </c>
      <c r="K160" s="29">
        <v>1.645</v>
      </c>
      <c r="L160" s="16">
        <v>50</v>
      </c>
      <c r="M160" s="30">
        <v>9.9000000000000005E-2</v>
      </c>
      <c r="N160" s="31">
        <v>14.6</v>
      </c>
      <c r="O160" s="16">
        <v>300</v>
      </c>
      <c r="P160" s="16">
        <v>5000</v>
      </c>
      <c r="Q160" s="32">
        <v>8.1999999999999993</v>
      </c>
      <c r="R160" s="32">
        <v>9.6</v>
      </c>
      <c r="S160" s="32">
        <v>58</v>
      </c>
      <c r="T160" s="33">
        <v>3.6873000000000003E-2</v>
      </c>
      <c r="U160" s="34">
        <v>1.2E-2</v>
      </c>
      <c r="V160" s="35">
        <v>0.55000000000000004</v>
      </c>
      <c r="W160" s="16" t="s">
        <v>173</v>
      </c>
      <c r="X160" s="16" t="s">
        <v>598</v>
      </c>
    </row>
    <row r="161" spans="1:24" x14ac:dyDescent="0.3">
      <c r="A161" s="16" t="s">
        <v>636</v>
      </c>
      <c r="B161" s="16" t="s">
        <v>592</v>
      </c>
      <c r="C161" s="16" t="s">
        <v>637</v>
      </c>
      <c r="D161" s="16" t="s">
        <v>638</v>
      </c>
      <c r="E161" s="28">
        <v>4400000000145</v>
      </c>
      <c r="F161" s="16" t="s">
        <v>595</v>
      </c>
      <c r="G161" s="16" t="s">
        <v>557</v>
      </c>
      <c r="H161" s="16" t="s">
        <v>192</v>
      </c>
      <c r="I161" s="16" t="s">
        <v>602</v>
      </c>
      <c r="J161" s="16" t="s">
        <v>188</v>
      </c>
      <c r="K161" s="29">
        <v>1.282</v>
      </c>
      <c r="L161" s="16">
        <v>50</v>
      </c>
      <c r="M161" s="30">
        <v>9.9000000000000005E-2</v>
      </c>
      <c r="N161" s="31">
        <v>14.6</v>
      </c>
      <c r="O161" s="16">
        <v>300</v>
      </c>
      <c r="P161" s="16">
        <v>5000</v>
      </c>
      <c r="Q161" s="32">
        <v>8.1999999999999993</v>
      </c>
      <c r="R161" s="32">
        <v>9.6</v>
      </c>
      <c r="S161" s="32">
        <v>58</v>
      </c>
      <c r="T161" s="33">
        <v>1.7351999999999999E-2</v>
      </c>
      <c r="U161" s="34">
        <v>1.2E-2</v>
      </c>
      <c r="V161" s="35">
        <v>0.55000000000000004</v>
      </c>
      <c r="W161" s="16" t="s">
        <v>173</v>
      </c>
      <c r="X161" s="16" t="s">
        <v>598</v>
      </c>
    </row>
    <row r="162" spans="1:24" x14ac:dyDescent="0.3">
      <c r="A162" s="16" t="s">
        <v>639</v>
      </c>
      <c r="B162" s="16" t="s">
        <v>592</v>
      </c>
      <c r="C162" s="16" t="s">
        <v>640</v>
      </c>
      <c r="D162" s="16" t="s">
        <v>641</v>
      </c>
      <c r="E162" s="28">
        <v>4400000000146</v>
      </c>
      <c r="F162" s="16" t="s">
        <v>595</v>
      </c>
      <c r="G162" s="16" t="s">
        <v>557</v>
      </c>
      <c r="H162" s="16" t="s">
        <v>206</v>
      </c>
      <c r="I162" s="16" t="s">
        <v>597</v>
      </c>
      <c r="J162" s="16" t="s">
        <v>188</v>
      </c>
      <c r="K162" s="29">
        <v>1.282</v>
      </c>
      <c r="L162" s="16">
        <v>50</v>
      </c>
      <c r="M162" s="30">
        <v>9.9000000000000005E-2</v>
      </c>
      <c r="N162" s="31">
        <v>14.6</v>
      </c>
      <c r="O162" s="16">
        <v>300</v>
      </c>
      <c r="P162" s="16">
        <v>5000</v>
      </c>
      <c r="Q162" s="32">
        <v>8.1999999999999993</v>
      </c>
      <c r="R162" s="32">
        <v>9.6</v>
      </c>
      <c r="S162" s="32">
        <v>58</v>
      </c>
      <c r="T162" s="33">
        <v>2.6817000000000001E-2</v>
      </c>
      <c r="U162" s="34">
        <v>1.2E-2</v>
      </c>
      <c r="V162" s="35">
        <v>0.55000000000000004</v>
      </c>
      <c r="W162" s="16" t="s">
        <v>173</v>
      </c>
      <c r="X162" s="16" t="s">
        <v>598</v>
      </c>
    </row>
    <row r="163" spans="1:24" x14ac:dyDescent="0.3">
      <c r="A163" s="16" t="s">
        <v>642</v>
      </c>
      <c r="B163" s="16" t="s">
        <v>592</v>
      </c>
      <c r="C163" s="16" t="s">
        <v>643</v>
      </c>
      <c r="D163" s="16" t="s">
        <v>644</v>
      </c>
      <c r="E163" s="28">
        <v>4400000000147</v>
      </c>
      <c r="F163" s="16" t="s">
        <v>595</v>
      </c>
      <c r="G163" s="16" t="s">
        <v>557</v>
      </c>
      <c r="H163" s="16" t="s">
        <v>206</v>
      </c>
      <c r="I163" s="16" t="s">
        <v>602</v>
      </c>
      <c r="J163" s="16" t="s">
        <v>188</v>
      </c>
      <c r="K163" s="29">
        <v>1.282</v>
      </c>
      <c r="L163" s="16">
        <v>50</v>
      </c>
      <c r="M163" s="30">
        <v>9.9000000000000005E-2</v>
      </c>
      <c r="N163" s="31">
        <v>14.6</v>
      </c>
      <c r="O163" s="16">
        <v>300</v>
      </c>
      <c r="P163" s="16">
        <v>5000</v>
      </c>
      <c r="Q163" s="32">
        <v>8.1999999999999993</v>
      </c>
      <c r="R163" s="32">
        <v>9.6</v>
      </c>
      <c r="S163" s="32">
        <v>58</v>
      </c>
      <c r="T163" s="33">
        <v>1.2619999999999999E-2</v>
      </c>
      <c r="U163" s="34">
        <v>1.2E-2</v>
      </c>
      <c r="V163" s="35">
        <v>0.55000000000000004</v>
      </c>
      <c r="W163" s="16" t="s">
        <v>173</v>
      </c>
      <c r="X163" s="16" t="s">
        <v>598</v>
      </c>
    </row>
    <row r="164" spans="1:24" x14ac:dyDescent="0.3">
      <c r="A164" s="16" t="s">
        <v>645</v>
      </c>
      <c r="B164" s="16" t="s">
        <v>646</v>
      </c>
      <c r="C164" s="16" t="s">
        <v>647</v>
      </c>
      <c r="D164" s="16" t="s">
        <v>648</v>
      </c>
      <c r="E164" s="28">
        <v>4400000000148</v>
      </c>
      <c r="F164" s="16" t="s">
        <v>649</v>
      </c>
      <c r="G164" s="16" t="s">
        <v>169</v>
      </c>
      <c r="H164" s="16" t="s">
        <v>170</v>
      </c>
      <c r="I164" s="16" t="s">
        <v>597</v>
      </c>
      <c r="J164" s="16" t="s">
        <v>184</v>
      </c>
      <c r="K164" s="29">
        <v>1.645</v>
      </c>
      <c r="L164" s="16">
        <v>50</v>
      </c>
      <c r="M164" s="30">
        <v>8.4000000000000005E-2</v>
      </c>
      <c r="N164" s="31">
        <v>12.5</v>
      </c>
      <c r="O164" s="16">
        <v>500</v>
      </c>
      <c r="P164" s="16">
        <v>5000</v>
      </c>
      <c r="Q164" s="32">
        <v>9.4</v>
      </c>
      <c r="R164" s="32">
        <v>11.2</v>
      </c>
      <c r="S164" s="32">
        <v>65</v>
      </c>
      <c r="T164" s="33">
        <v>0.117284</v>
      </c>
      <c r="U164" s="34">
        <v>1.0999999999999999E-2</v>
      </c>
      <c r="V164" s="35">
        <v>0.45</v>
      </c>
      <c r="W164" s="16" t="s">
        <v>173</v>
      </c>
      <c r="X164" s="16" t="s">
        <v>650</v>
      </c>
    </row>
    <row r="165" spans="1:24" x14ac:dyDescent="0.3">
      <c r="A165" s="16" t="s">
        <v>651</v>
      </c>
      <c r="B165" s="16" t="s">
        <v>646</v>
      </c>
      <c r="C165" s="16" t="s">
        <v>652</v>
      </c>
      <c r="D165" s="16" t="s">
        <v>653</v>
      </c>
      <c r="E165" s="28">
        <v>4400000000149</v>
      </c>
      <c r="F165" s="16" t="s">
        <v>649</v>
      </c>
      <c r="G165" s="16" t="s">
        <v>169</v>
      </c>
      <c r="H165" s="16" t="s">
        <v>183</v>
      </c>
      <c r="I165" s="16" t="s">
        <v>597</v>
      </c>
      <c r="J165" s="16" t="s">
        <v>184</v>
      </c>
      <c r="K165" s="29">
        <v>1.645</v>
      </c>
      <c r="L165" s="16">
        <v>50</v>
      </c>
      <c r="M165" s="30">
        <v>8.4000000000000005E-2</v>
      </c>
      <c r="N165" s="31">
        <v>12.5</v>
      </c>
      <c r="O165" s="16">
        <v>500</v>
      </c>
      <c r="P165" s="16">
        <v>5000</v>
      </c>
      <c r="Q165" s="32">
        <v>9.4</v>
      </c>
      <c r="R165" s="32">
        <v>11.2</v>
      </c>
      <c r="S165" s="32">
        <v>65</v>
      </c>
      <c r="T165" s="33">
        <v>7.4074000000000001E-2</v>
      </c>
      <c r="U165" s="34">
        <v>1.0999999999999999E-2</v>
      </c>
      <c r="V165" s="35">
        <v>0.45</v>
      </c>
      <c r="W165" s="16" t="s">
        <v>173</v>
      </c>
      <c r="X165" s="16" t="s">
        <v>650</v>
      </c>
    </row>
    <row r="166" spans="1:24" x14ac:dyDescent="0.3">
      <c r="A166" s="16" t="s">
        <v>654</v>
      </c>
      <c r="B166" s="16" t="s">
        <v>646</v>
      </c>
      <c r="C166" s="16" t="s">
        <v>655</v>
      </c>
      <c r="D166" s="16" t="s">
        <v>656</v>
      </c>
      <c r="E166" s="28">
        <v>4400000000150</v>
      </c>
      <c r="F166" s="16" t="s">
        <v>649</v>
      </c>
      <c r="G166" s="16" t="s">
        <v>169</v>
      </c>
      <c r="H166" s="16" t="s">
        <v>192</v>
      </c>
      <c r="I166" s="16" t="s">
        <v>597</v>
      </c>
      <c r="J166" s="16" t="s">
        <v>188</v>
      </c>
      <c r="K166" s="29">
        <v>1.282</v>
      </c>
      <c r="L166" s="16">
        <v>50</v>
      </c>
      <c r="M166" s="30">
        <v>8.4000000000000005E-2</v>
      </c>
      <c r="N166" s="31">
        <v>12.5</v>
      </c>
      <c r="O166" s="16">
        <v>500</v>
      </c>
      <c r="P166" s="16">
        <v>5000</v>
      </c>
      <c r="Q166" s="32">
        <v>9.4</v>
      </c>
      <c r="R166" s="32">
        <v>11.2</v>
      </c>
      <c r="S166" s="32">
        <v>65</v>
      </c>
      <c r="T166" s="33">
        <v>3.3951000000000002E-2</v>
      </c>
      <c r="U166" s="34">
        <v>1.0999999999999999E-2</v>
      </c>
      <c r="V166" s="35">
        <v>0.45</v>
      </c>
      <c r="W166" s="16" t="s">
        <v>173</v>
      </c>
      <c r="X166" s="16" t="s">
        <v>650</v>
      </c>
    </row>
    <row r="167" spans="1:24" x14ac:dyDescent="0.3">
      <c r="A167" s="16" t="s">
        <v>657</v>
      </c>
      <c r="B167" s="16" t="s">
        <v>646</v>
      </c>
      <c r="C167" s="16" t="s">
        <v>658</v>
      </c>
      <c r="D167" s="16" t="s">
        <v>659</v>
      </c>
      <c r="E167" s="28">
        <v>4400000000151</v>
      </c>
      <c r="F167" s="16" t="s">
        <v>649</v>
      </c>
      <c r="G167" s="16" t="s">
        <v>169</v>
      </c>
      <c r="H167" s="16" t="s">
        <v>206</v>
      </c>
      <c r="I167" s="16" t="s">
        <v>597</v>
      </c>
      <c r="J167" s="16" t="s">
        <v>188</v>
      </c>
      <c r="K167" s="29">
        <v>1.282</v>
      </c>
      <c r="L167" s="16">
        <v>50</v>
      </c>
      <c r="M167" s="30">
        <v>8.4000000000000005E-2</v>
      </c>
      <c r="N167" s="31">
        <v>12.5</v>
      </c>
      <c r="O167" s="16">
        <v>500</v>
      </c>
      <c r="P167" s="16">
        <v>5000</v>
      </c>
      <c r="Q167" s="32">
        <v>9.4</v>
      </c>
      <c r="R167" s="32">
        <v>11.2</v>
      </c>
      <c r="S167" s="32">
        <v>65</v>
      </c>
      <c r="T167" s="33">
        <v>2.4691000000000001E-2</v>
      </c>
      <c r="U167" s="34">
        <v>1.0999999999999999E-2</v>
      </c>
      <c r="V167" s="35">
        <v>0.45</v>
      </c>
      <c r="W167" s="16" t="s">
        <v>173</v>
      </c>
      <c r="X167" s="16" t="s">
        <v>650</v>
      </c>
    </row>
    <row r="168" spans="1:24" x14ac:dyDescent="0.3">
      <c r="A168" s="16" t="s">
        <v>660</v>
      </c>
      <c r="B168" s="16" t="s">
        <v>646</v>
      </c>
      <c r="C168" s="16" t="s">
        <v>661</v>
      </c>
      <c r="D168" s="16" t="s">
        <v>662</v>
      </c>
      <c r="E168" s="28">
        <v>4400000000152</v>
      </c>
      <c r="F168" s="16" t="s">
        <v>649</v>
      </c>
      <c r="G168" s="16" t="s">
        <v>220</v>
      </c>
      <c r="H168" s="16" t="s">
        <v>170</v>
      </c>
      <c r="I168" s="16" t="s">
        <v>597</v>
      </c>
      <c r="J168" s="16" t="s">
        <v>184</v>
      </c>
      <c r="K168" s="29">
        <v>1.645</v>
      </c>
      <c r="L168" s="16">
        <v>50</v>
      </c>
      <c r="M168" s="30">
        <v>8.4000000000000005E-2</v>
      </c>
      <c r="N168" s="31">
        <v>12.5</v>
      </c>
      <c r="O168" s="16">
        <v>500</v>
      </c>
      <c r="P168" s="16">
        <v>5000</v>
      </c>
      <c r="Q168" s="32">
        <v>9.4</v>
      </c>
      <c r="R168" s="32">
        <v>11.2</v>
      </c>
      <c r="S168" s="32">
        <v>65</v>
      </c>
      <c r="T168" s="33">
        <v>0.21111099999999999</v>
      </c>
      <c r="U168" s="34">
        <v>1.0999999999999999E-2</v>
      </c>
      <c r="V168" s="35">
        <v>0.45</v>
      </c>
      <c r="W168" s="16" t="s">
        <v>173</v>
      </c>
      <c r="X168" s="16" t="s">
        <v>650</v>
      </c>
    </row>
    <row r="169" spans="1:24" x14ac:dyDescent="0.3">
      <c r="A169" s="16" t="s">
        <v>663</v>
      </c>
      <c r="B169" s="16" t="s">
        <v>646</v>
      </c>
      <c r="C169" s="16" t="s">
        <v>664</v>
      </c>
      <c r="D169" s="16" t="s">
        <v>665</v>
      </c>
      <c r="E169" s="28">
        <v>4400000000153</v>
      </c>
      <c r="F169" s="16" t="s">
        <v>649</v>
      </c>
      <c r="G169" s="16" t="s">
        <v>220</v>
      </c>
      <c r="H169" s="16" t="s">
        <v>183</v>
      </c>
      <c r="I169" s="16" t="s">
        <v>597</v>
      </c>
      <c r="J169" s="16" t="s">
        <v>184</v>
      </c>
      <c r="K169" s="29">
        <v>1.645</v>
      </c>
      <c r="L169" s="16">
        <v>50</v>
      </c>
      <c r="M169" s="30">
        <v>8.4000000000000005E-2</v>
      </c>
      <c r="N169" s="31">
        <v>12.5</v>
      </c>
      <c r="O169" s="16">
        <v>500</v>
      </c>
      <c r="P169" s="16">
        <v>5000</v>
      </c>
      <c r="Q169" s="32">
        <v>9.4</v>
      </c>
      <c r="R169" s="32">
        <v>11.2</v>
      </c>
      <c r="S169" s="32">
        <v>65</v>
      </c>
      <c r="T169" s="33">
        <v>0.13333300000000001</v>
      </c>
      <c r="U169" s="34">
        <v>1.0999999999999999E-2</v>
      </c>
      <c r="V169" s="35">
        <v>0.45</v>
      </c>
      <c r="W169" s="16" t="s">
        <v>173</v>
      </c>
      <c r="X169" s="16" t="s">
        <v>650</v>
      </c>
    </row>
    <row r="170" spans="1:24" x14ac:dyDescent="0.3">
      <c r="A170" s="16" t="s">
        <v>666</v>
      </c>
      <c r="B170" s="16" t="s">
        <v>646</v>
      </c>
      <c r="C170" s="16" t="s">
        <v>667</v>
      </c>
      <c r="D170" s="16" t="s">
        <v>668</v>
      </c>
      <c r="E170" s="28">
        <v>4400000000154</v>
      </c>
      <c r="F170" s="16" t="s">
        <v>649</v>
      </c>
      <c r="G170" s="16" t="s">
        <v>220</v>
      </c>
      <c r="H170" s="16" t="s">
        <v>192</v>
      </c>
      <c r="I170" s="16" t="s">
        <v>597</v>
      </c>
      <c r="J170" s="16" t="s">
        <v>184</v>
      </c>
      <c r="K170" s="29">
        <v>1.645</v>
      </c>
      <c r="L170" s="16">
        <v>50</v>
      </c>
      <c r="M170" s="30">
        <v>8.4000000000000005E-2</v>
      </c>
      <c r="N170" s="31">
        <v>12.5</v>
      </c>
      <c r="O170" s="16">
        <v>500</v>
      </c>
      <c r="P170" s="16">
        <v>5000</v>
      </c>
      <c r="Q170" s="32">
        <v>9.4</v>
      </c>
      <c r="R170" s="32">
        <v>11.2</v>
      </c>
      <c r="S170" s="32">
        <v>65</v>
      </c>
      <c r="T170" s="33">
        <v>6.1110999999999999E-2</v>
      </c>
      <c r="U170" s="34">
        <v>1.0999999999999999E-2</v>
      </c>
      <c r="V170" s="35">
        <v>0.45</v>
      </c>
      <c r="W170" s="16" t="s">
        <v>173</v>
      </c>
      <c r="X170" s="16" t="s">
        <v>650</v>
      </c>
    </row>
    <row r="171" spans="1:24" x14ac:dyDescent="0.3">
      <c r="A171" s="16" t="s">
        <v>669</v>
      </c>
      <c r="B171" s="16" t="s">
        <v>646</v>
      </c>
      <c r="C171" s="16" t="s">
        <v>670</v>
      </c>
      <c r="D171" s="16" t="s">
        <v>671</v>
      </c>
      <c r="E171" s="28">
        <v>4400000000155</v>
      </c>
      <c r="F171" s="16" t="s">
        <v>649</v>
      </c>
      <c r="G171" s="16" t="s">
        <v>220</v>
      </c>
      <c r="H171" s="16" t="s">
        <v>206</v>
      </c>
      <c r="I171" s="16" t="s">
        <v>597</v>
      </c>
      <c r="J171" s="16" t="s">
        <v>179</v>
      </c>
      <c r="K171" s="29">
        <v>1.645</v>
      </c>
      <c r="L171" s="16">
        <v>50</v>
      </c>
      <c r="M171" s="30">
        <v>8.4000000000000005E-2</v>
      </c>
      <c r="N171" s="31">
        <v>12.5</v>
      </c>
      <c r="O171" s="16">
        <v>500</v>
      </c>
      <c r="P171" s="16">
        <v>5000</v>
      </c>
      <c r="Q171" s="32">
        <v>9.4</v>
      </c>
      <c r="R171" s="32">
        <v>11.2</v>
      </c>
      <c r="S171" s="32">
        <v>65</v>
      </c>
      <c r="T171" s="33">
        <v>4.4443999999999997E-2</v>
      </c>
      <c r="U171" s="34">
        <v>1.0999999999999999E-2</v>
      </c>
      <c r="V171" s="35">
        <v>0.45</v>
      </c>
      <c r="W171" s="16" t="s">
        <v>173</v>
      </c>
      <c r="X171" s="16" t="s">
        <v>650</v>
      </c>
    </row>
    <row r="172" spans="1:24" x14ac:dyDescent="0.3">
      <c r="A172" s="16" t="s">
        <v>672</v>
      </c>
      <c r="B172" s="16" t="s">
        <v>646</v>
      </c>
      <c r="C172" s="16" t="s">
        <v>673</v>
      </c>
      <c r="D172" s="16" t="s">
        <v>674</v>
      </c>
      <c r="E172" s="28">
        <v>4400000000156</v>
      </c>
      <c r="F172" s="16" t="s">
        <v>649</v>
      </c>
      <c r="G172" s="16" t="s">
        <v>258</v>
      </c>
      <c r="H172" s="16" t="s">
        <v>170</v>
      </c>
      <c r="I172" s="16" t="s">
        <v>597</v>
      </c>
      <c r="J172" s="16" t="s">
        <v>184</v>
      </c>
      <c r="K172" s="29">
        <v>1.645</v>
      </c>
      <c r="L172" s="16">
        <v>50</v>
      </c>
      <c r="M172" s="30">
        <v>8.4000000000000005E-2</v>
      </c>
      <c r="N172" s="31">
        <v>12.5</v>
      </c>
      <c r="O172" s="16">
        <v>500</v>
      </c>
      <c r="P172" s="16">
        <v>5000</v>
      </c>
      <c r="Q172" s="32">
        <v>9.4</v>
      </c>
      <c r="R172" s="32">
        <v>11.2</v>
      </c>
      <c r="S172" s="32">
        <v>65</v>
      </c>
      <c r="T172" s="33">
        <v>0.140741</v>
      </c>
      <c r="U172" s="34">
        <v>1.0999999999999999E-2</v>
      </c>
      <c r="V172" s="35">
        <v>0.45</v>
      </c>
      <c r="W172" s="16" t="s">
        <v>173</v>
      </c>
      <c r="X172" s="16" t="s">
        <v>650</v>
      </c>
    </row>
    <row r="173" spans="1:24" x14ac:dyDescent="0.3">
      <c r="A173" s="16" t="s">
        <v>675</v>
      </c>
      <c r="B173" s="16" t="s">
        <v>646</v>
      </c>
      <c r="C173" s="16" t="s">
        <v>676</v>
      </c>
      <c r="D173" s="16" t="s">
        <v>677</v>
      </c>
      <c r="E173" s="28">
        <v>4400000000157</v>
      </c>
      <c r="F173" s="16" t="s">
        <v>649</v>
      </c>
      <c r="G173" s="16" t="s">
        <v>258</v>
      </c>
      <c r="H173" s="16" t="s">
        <v>183</v>
      </c>
      <c r="I173" s="16" t="s">
        <v>597</v>
      </c>
      <c r="J173" s="16" t="s">
        <v>184</v>
      </c>
      <c r="K173" s="29">
        <v>1.645</v>
      </c>
      <c r="L173" s="16">
        <v>50</v>
      </c>
      <c r="M173" s="30">
        <v>8.4000000000000005E-2</v>
      </c>
      <c r="N173" s="31">
        <v>12.5</v>
      </c>
      <c r="O173" s="16">
        <v>500</v>
      </c>
      <c r="P173" s="16">
        <v>5000</v>
      </c>
      <c r="Q173" s="32">
        <v>9.4</v>
      </c>
      <c r="R173" s="32">
        <v>11.2</v>
      </c>
      <c r="S173" s="32">
        <v>65</v>
      </c>
      <c r="T173" s="33">
        <v>8.8888999999999996E-2</v>
      </c>
      <c r="U173" s="34">
        <v>1.0999999999999999E-2</v>
      </c>
      <c r="V173" s="35">
        <v>0.45</v>
      </c>
      <c r="W173" s="16" t="s">
        <v>173</v>
      </c>
      <c r="X173" s="16" t="s">
        <v>650</v>
      </c>
    </row>
    <row r="174" spans="1:24" x14ac:dyDescent="0.3">
      <c r="A174" s="16" t="s">
        <v>678</v>
      </c>
      <c r="B174" s="16" t="s">
        <v>646</v>
      </c>
      <c r="C174" s="16" t="s">
        <v>679</v>
      </c>
      <c r="D174" s="16" t="s">
        <v>680</v>
      </c>
      <c r="E174" s="28">
        <v>4400000000158</v>
      </c>
      <c r="F174" s="16" t="s">
        <v>649</v>
      </c>
      <c r="G174" s="16" t="s">
        <v>258</v>
      </c>
      <c r="H174" s="16" t="s">
        <v>192</v>
      </c>
      <c r="I174" s="16" t="s">
        <v>597</v>
      </c>
      <c r="J174" s="16" t="s">
        <v>179</v>
      </c>
      <c r="K174" s="29">
        <v>1.645</v>
      </c>
      <c r="L174" s="16">
        <v>50</v>
      </c>
      <c r="M174" s="30">
        <v>8.4000000000000005E-2</v>
      </c>
      <c r="N174" s="31">
        <v>12.5</v>
      </c>
      <c r="O174" s="16">
        <v>500</v>
      </c>
      <c r="P174" s="16">
        <v>5000</v>
      </c>
      <c r="Q174" s="32">
        <v>9.4</v>
      </c>
      <c r="R174" s="32">
        <v>11.2</v>
      </c>
      <c r="S174" s="32">
        <v>65</v>
      </c>
      <c r="T174" s="33">
        <v>4.0740999999999999E-2</v>
      </c>
      <c r="U174" s="34">
        <v>1.0999999999999999E-2</v>
      </c>
      <c r="V174" s="35">
        <v>0.45</v>
      </c>
      <c r="W174" s="16" t="s">
        <v>173</v>
      </c>
      <c r="X174" s="16" t="s">
        <v>650</v>
      </c>
    </row>
    <row r="175" spans="1:24" x14ac:dyDescent="0.3">
      <c r="A175" s="16" t="s">
        <v>681</v>
      </c>
      <c r="B175" s="16" t="s">
        <v>646</v>
      </c>
      <c r="C175" s="16" t="s">
        <v>682</v>
      </c>
      <c r="D175" s="16" t="s">
        <v>683</v>
      </c>
      <c r="E175" s="28">
        <v>4400000000159</v>
      </c>
      <c r="F175" s="16" t="s">
        <v>649</v>
      </c>
      <c r="G175" s="16" t="s">
        <v>258</v>
      </c>
      <c r="H175" s="16" t="s">
        <v>206</v>
      </c>
      <c r="I175" s="16" t="s">
        <v>597</v>
      </c>
      <c r="J175" s="16" t="s">
        <v>188</v>
      </c>
      <c r="K175" s="29">
        <v>1.282</v>
      </c>
      <c r="L175" s="16">
        <v>50</v>
      </c>
      <c r="M175" s="30">
        <v>8.4000000000000005E-2</v>
      </c>
      <c r="N175" s="31">
        <v>12.5</v>
      </c>
      <c r="O175" s="16">
        <v>500</v>
      </c>
      <c r="P175" s="16">
        <v>5000</v>
      </c>
      <c r="Q175" s="32">
        <v>9.4</v>
      </c>
      <c r="R175" s="32">
        <v>11.2</v>
      </c>
      <c r="S175" s="32">
        <v>65</v>
      </c>
      <c r="T175" s="33">
        <v>2.963E-2</v>
      </c>
      <c r="U175" s="34">
        <v>1.0999999999999999E-2</v>
      </c>
      <c r="V175" s="35">
        <v>0.45</v>
      </c>
      <c r="W175" s="16" t="s">
        <v>173</v>
      </c>
      <c r="X175" s="16" t="s">
        <v>650</v>
      </c>
    </row>
  </sheetData>
  <mergeCells count="23">
    <mergeCell ref="A1:X1"/>
    <mergeCell ref="A5"/>
    <mergeCell ref="A2:X2"/>
    <mergeCell ref="D11:E11"/>
    <mergeCell ref="A11"/>
    <mergeCell ref="A6"/>
    <mergeCell ref="D7:E7"/>
    <mergeCell ref="A7"/>
    <mergeCell ref="D4:E4"/>
    <mergeCell ref="D3:E3"/>
    <mergeCell ref="D9:E9"/>
    <mergeCell ref="D8:E8"/>
    <mergeCell ref="A3"/>
    <mergeCell ref="D5:E5"/>
    <mergeCell ref="A8"/>
    <mergeCell ref="D10:E10"/>
    <mergeCell ref="A4"/>
    <mergeCell ref="D13:X13"/>
    <mergeCell ref="A10"/>
    <mergeCell ref="D6:E6"/>
    <mergeCell ref="A9"/>
    <mergeCell ref="D12:E12"/>
    <mergeCell ref="A12"/>
  </mergeCells>
  <printOptions horizontalCentered="1"/>
  <pageMargins left="0.75" right="0.75" top="1" bottom="1" header="0.5" footer="0.5"/>
  <pageSetup fitToHeight="0" orientation="landscape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tabColor rgb="FF4472C4"/>
    <pageSetUpPr fitToPage="1"/>
  </sheetPr>
  <dimension ref="A1:Y164"/>
  <sheetViews>
    <sheetView showGridLines="0" workbookViewId="0">
      <pane xSplit="2" ySplit="4" topLeftCell="C17" activePane="bottomRight" state="frozen"/>
      <selection pane="topRight"/>
      <selection pane="bottomLeft"/>
      <selection pane="bottomRight" sqref="A1:Y1"/>
    </sheetView>
  </sheetViews>
  <sheetFormatPr baseColWidth="10" defaultColWidth="8.88671875" defaultRowHeight="14.4" x14ac:dyDescent="0.3"/>
  <cols>
    <col min="1" max="1" width="28" customWidth="1"/>
    <col min="2" max="2" width="20" customWidth="1"/>
    <col min="3" max="3" width="8" customWidth="1"/>
    <col min="4" max="4" width="9" customWidth="1"/>
    <col min="5" max="5" width="13" customWidth="1"/>
    <col min="6" max="7" width="11" customWidth="1"/>
    <col min="8" max="8" width="12" customWidth="1"/>
    <col min="9" max="9" width="13" customWidth="1"/>
    <col min="10" max="10" width="14" customWidth="1"/>
    <col min="11" max="11" width="16" customWidth="1"/>
    <col min="12" max="12" width="10" customWidth="1"/>
    <col min="13" max="13" width="13" customWidth="1"/>
    <col min="14" max="15" width="11" customWidth="1"/>
    <col min="16" max="16" width="12" customWidth="1"/>
    <col min="17" max="17" width="14" customWidth="1"/>
    <col min="18" max="18" width="16" customWidth="1"/>
    <col min="19" max="19" width="10" customWidth="1"/>
    <col min="20" max="20" width="11" customWidth="1"/>
    <col min="21" max="21" width="12" customWidth="1"/>
    <col min="22" max="22" width="10" customWidth="1"/>
    <col min="23" max="23" width="11" customWidth="1"/>
    <col min="24" max="24" width="28" customWidth="1"/>
    <col min="25" max="25" width="15" customWidth="1"/>
  </cols>
  <sheetData>
    <row r="1" spans="1:25" ht="28.05" customHeight="1" x14ac:dyDescent="0.3">
      <c r="A1" s="51" t="s">
        <v>684</v>
      </c>
      <c r="B1" s="52"/>
      <c r="C1" s="52"/>
      <c r="D1" s="52"/>
      <c r="E1" s="52"/>
      <c r="F1" s="52"/>
      <c r="G1" s="52"/>
      <c r="H1" s="52"/>
      <c r="I1" s="52"/>
      <c r="J1" s="52"/>
      <c r="K1" s="52"/>
      <c r="L1" s="52"/>
      <c r="M1" s="52"/>
      <c r="N1" s="52"/>
      <c r="O1" s="52"/>
      <c r="P1" s="52"/>
      <c r="Q1" s="52"/>
      <c r="R1" s="52"/>
      <c r="S1" s="52"/>
      <c r="T1" s="52"/>
      <c r="U1" s="52"/>
      <c r="V1" s="52"/>
      <c r="W1" s="52"/>
      <c r="X1" s="52"/>
      <c r="Y1" s="52"/>
    </row>
    <row r="2" spans="1:25" ht="19.95" customHeight="1" x14ac:dyDescent="0.3">
      <c r="A2" s="58" t="s">
        <v>685</v>
      </c>
      <c r="B2" s="57"/>
      <c r="C2" s="57"/>
      <c r="D2" s="57"/>
      <c r="E2" s="57"/>
      <c r="F2" s="57"/>
      <c r="G2" s="57"/>
      <c r="H2" s="57"/>
      <c r="I2" s="57"/>
      <c r="J2" s="57"/>
      <c r="K2" s="57"/>
      <c r="L2" s="57"/>
      <c r="M2" s="57"/>
      <c r="N2" s="57"/>
      <c r="O2" s="57"/>
      <c r="P2" s="57"/>
      <c r="Q2" s="57"/>
      <c r="R2" s="57"/>
      <c r="S2" s="57"/>
      <c r="T2" s="57"/>
      <c r="U2" s="57"/>
      <c r="V2" s="57"/>
      <c r="W2" s="57"/>
      <c r="X2" s="57"/>
      <c r="Y2" s="57"/>
    </row>
    <row r="4" spans="1:25" ht="37.950000000000003" customHeight="1" x14ac:dyDescent="0.3">
      <c r="A4" s="27" t="s">
        <v>140</v>
      </c>
      <c r="B4" s="27" t="s">
        <v>141</v>
      </c>
      <c r="C4" s="27" t="s">
        <v>686</v>
      </c>
      <c r="D4" s="27" t="s">
        <v>687</v>
      </c>
      <c r="E4" s="27" t="s">
        <v>688</v>
      </c>
      <c r="F4" s="27" t="s">
        <v>689</v>
      </c>
      <c r="G4" s="27" t="s">
        <v>690</v>
      </c>
      <c r="H4" s="27" t="s">
        <v>691</v>
      </c>
      <c r="I4" s="27" t="s">
        <v>692</v>
      </c>
      <c r="J4" s="27" t="s">
        <v>693</v>
      </c>
      <c r="K4" s="27" t="s">
        <v>694</v>
      </c>
      <c r="L4" s="27" t="s">
        <v>695</v>
      </c>
      <c r="M4" s="27" t="s">
        <v>696</v>
      </c>
      <c r="N4" s="27" t="s">
        <v>697</v>
      </c>
      <c r="O4" s="27" t="s">
        <v>698</v>
      </c>
      <c r="P4" s="27" t="s">
        <v>699</v>
      </c>
      <c r="Q4" s="27" t="s">
        <v>700</v>
      </c>
      <c r="R4" s="27" t="s">
        <v>701</v>
      </c>
      <c r="S4" s="27" t="s">
        <v>702</v>
      </c>
      <c r="T4" s="27" t="s">
        <v>703</v>
      </c>
      <c r="U4" s="27" t="s">
        <v>704</v>
      </c>
      <c r="V4" s="27" t="s">
        <v>705</v>
      </c>
      <c r="W4" s="27" t="s">
        <v>706</v>
      </c>
      <c r="X4" s="27" t="s">
        <v>707</v>
      </c>
      <c r="Y4" s="27" t="s">
        <v>708</v>
      </c>
    </row>
    <row r="5" spans="1:25" x14ac:dyDescent="0.3">
      <c r="A5" s="36" t="s">
        <v>164</v>
      </c>
      <c r="B5" s="16" t="s">
        <v>165</v>
      </c>
      <c r="C5" s="4" t="s">
        <v>172</v>
      </c>
      <c r="D5" s="37">
        <v>0.72</v>
      </c>
      <c r="E5" s="31">
        <v>422</v>
      </c>
      <c r="F5" s="31">
        <v>30</v>
      </c>
      <c r="G5" s="30">
        <f t="shared" ref="G5:G36" si="0">E5/30</f>
        <v>14.066666666666666</v>
      </c>
      <c r="H5" s="30">
        <v>14.066700000000001</v>
      </c>
      <c r="I5" s="30">
        <v>12.6889</v>
      </c>
      <c r="J5" s="30">
        <v>14.066700000000001</v>
      </c>
      <c r="K5" s="38">
        <v>14.066700000000001</v>
      </c>
      <c r="L5" s="30">
        <v>5.6835000000000004</v>
      </c>
      <c r="M5" s="31">
        <v>60</v>
      </c>
      <c r="N5" s="31">
        <v>11.2928</v>
      </c>
      <c r="O5" s="30">
        <f t="shared" ref="O5:O36" si="1">M5/30</f>
        <v>2</v>
      </c>
      <c r="P5" s="30">
        <v>5.3131000000000004</v>
      </c>
      <c r="Q5" s="30">
        <v>5.3131000000000004</v>
      </c>
      <c r="R5" s="39">
        <v>19.379799999999999</v>
      </c>
      <c r="S5" s="30">
        <v>6.1658999999999997</v>
      </c>
      <c r="T5" s="35">
        <f t="shared" ref="T5:T36" si="2">MAX(0,(30-F5)/30)</f>
        <v>0</v>
      </c>
      <c r="U5" s="35">
        <f t="shared" ref="U5:U36" si="3">IF(G5&gt;0,K5/G5-1,0)</f>
        <v>2.3696682465157437E-6</v>
      </c>
      <c r="V5" s="35">
        <f t="shared" ref="V5:V36" si="4">F5/30</f>
        <v>1</v>
      </c>
      <c r="W5" s="40">
        <f t="shared" ref="W5:W36" si="5">MAX(0,30-F5)</f>
        <v>0</v>
      </c>
      <c r="X5" s="4" t="str">
        <f t="shared" ref="X5:X36" si="6">IF(F5&lt;20,"CENSORED - REVIEW ACTIVE DAY","OK")</f>
        <v>OK</v>
      </c>
      <c r="Y5" s="30">
        <v>12.6889</v>
      </c>
    </row>
    <row r="6" spans="1:25" x14ac:dyDescent="0.3">
      <c r="A6" s="36" t="s">
        <v>175</v>
      </c>
      <c r="B6" s="16" t="s">
        <v>165</v>
      </c>
      <c r="C6" s="4" t="s">
        <v>179</v>
      </c>
      <c r="D6" s="37">
        <v>0.72</v>
      </c>
      <c r="E6" s="31">
        <v>32</v>
      </c>
      <c r="F6" s="31">
        <v>30</v>
      </c>
      <c r="G6" s="30">
        <f t="shared" si="0"/>
        <v>1.0666666666666667</v>
      </c>
      <c r="H6" s="30">
        <v>1.0667</v>
      </c>
      <c r="I6" s="30">
        <v>1.1444000000000001</v>
      </c>
      <c r="J6" s="30">
        <v>1.0667</v>
      </c>
      <c r="K6" s="38">
        <v>1.0667</v>
      </c>
      <c r="L6" s="30">
        <v>0.72529999999999994</v>
      </c>
      <c r="M6" s="31">
        <v>18</v>
      </c>
      <c r="N6" s="31">
        <v>30</v>
      </c>
      <c r="O6" s="30">
        <f t="shared" si="1"/>
        <v>0.6</v>
      </c>
      <c r="P6" s="30">
        <v>0.6</v>
      </c>
      <c r="Q6" s="30">
        <v>0.6</v>
      </c>
      <c r="R6" s="39">
        <v>1.6667000000000001</v>
      </c>
      <c r="S6" s="30">
        <v>0.83220000000000005</v>
      </c>
      <c r="T6" s="35">
        <f t="shared" si="2"/>
        <v>0</v>
      </c>
      <c r="U6" s="35">
        <f t="shared" si="3"/>
        <v>3.1249999999927169E-5</v>
      </c>
      <c r="V6" s="35">
        <f t="shared" si="4"/>
        <v>1</v>
      </c>
      <c r="W6" s="40">
        <f t="shared" si="5"/>
        <v>0</v>
      </c>
      <c r="X6" s="4" t="str">
        <f t="shared" si="6"/>
        <v>OK</v>
      </c>
      <c r="Y6" s="30">
        <v>1.1444000000000001</v>
      </c>
    </row>
    <row r="7" spans="1:25" x14ac:dyDescent="0.3">
      <c r="A7" s="36" t="s">
        <v>180</v>
      </c>
      <c r="B7" s="16" t="s">
        <v>165</v>
      </c>
      <c r="C7" s="4" t="s">
        <v>184</v>
      </c>
      <c r="D7" s="37">
        <v>0.72</v>
      </c>
      <c r="E7" s="31">
        <v>26</v>
      </c>
      <c r="F7" s="31">
        <v>11.3551</v>
      </c>
      <c r="G7" s="30">
        <f t="shared" si="0"/>
        <v>0.8666666666666667</v>
      </c>
      <c r="H7" s="30">
        <v>2.2896999999999998</v>
      </c>
      <c r="I7" s="30">
        <v>2.2282999999999999</v>
      </c>
      <c r="J7" s="30">
        <v>7.2846000000000002</v>
      </c>
      <c r="K7" s="38">
        <v>2.2896999999999998</v>
      </c>
      <c r="L7" s="30">
        <v>1.1449</v>
      </c>
      <c r="M7" s="31">
        <v>39</v>
      </c>
      <c r="N7" s="31">
        <v>30</v>
      </c>
      <c r="O7" s="30">
        <f t="shared" si="1"/>
        <v>1.3</v>
      </c>
      <c r="P7" s="30">
        <v>1.3</v>
      </c>
      <c r="Q7" s="30">
        <v>1.3</v>
      </c>
      <c r="R7" s="39">
        <v>3.5897000000000001</v>
      </c>
      <c r="S7" s="30">
        <v>1.3165</v>
      </c>
      <c r="T7" s="35">
        <f t="shared" si="2"/>
        <v>0.6214966666666667</v>
      </c>
      <c r="U7" s="35">
        <f t="shared" si="3"/>
        <v>1.6419615384615383</v>
      </c>
      <c r="V7" s="35">
        <f t="shared" si="4"/>
        <v>0.37850333333333336</v>
      </c>
      <c r="W7" s="40">
        <f t="shared" si="5"/>
        <v>18.6449</v>
      </c>
      <c r="X7" s="4" t="str">
        <f t="shared" si="6"/>
        <v>CENSORED - REVIEW ACTIVE DAY</v>
      </c>
      <c r="Y7" s="30">
        <v>2.2282999999999999</v>
      </c>
    </row>
    <row r="8" spans="1:25" x14ac:dyDescent="0.3">
      <c r="A8" s="36" t="s">
        <v>185</v>
      </c>
      <c r="B8" s="16" t="s">
        <v>165</v>
      </c>
      <c r="C8" s="4" t="s">
        <v>188</v>
      </c>
      <c r="D8" s="37">
        <v>0.72</v>
      </c>
      <c r="E8" s="31">
        <v>0</v>
      </c>
      <c r="F8" s="31">
        <v>0</v>
      </c>
      <c r="G8" s="30">
        <f t="shared" si="0"/>
        <v>0</v>
      </c>
      <c r="H8" s="30">
        <v>0</v>
      </c>
      <c r="I8" s="30">
        <v>0</v>
      </c>
      <c r="J8" s="30">
        <v>3.3127</v>
      </c>
      <c r="K8" s="38">
        <v>0.68489999999999995</v>
      </c>
      <c r="L8" s="30">
        <v>0.44519999999999998</v>
      </c>
      <c r="M8" s="31">
        <v>8</v>
      </c>
      <c r="N8" s="31">
        <v>30</v>
      </c>
      <c r="O8" s="30">
        <f t="shared" si="1"/>
        <v>0.26666666666666666</v>
      </c>
      <c r="P8" s="30">
        <v>0.26669999999999999</v>
      </c>
      <c r="Q8" s="30">
        <v>0.26669999999999999</v>
      </c>
      <c r="R8" s="39">
        <v>0.9516</v>
      </c>
      <c r="S8" s="30">
        <v>0.57250000000000001</v>
      </c>
      <c r="T8" s="35">
        <f t="shared" si="2"/>
        <v>1</v>
      </c>
      <c r="U8" s="35">
        <f t="shared" si="3"/>
        <v>0</v>
      </c>
      <c r="V8" s="35">
        <f t="shared" si="4"/>
        <v>0</v>
      </c>
      <c r="W8" s="40">
        <f t="shared" si="5"/>
        <v>30</v>
      </c>
      <c r="X8" s="4" t="str">
        <f t="shared" si="6"/>
        <v>CENSORED - REVIEW ACTIVE DAY</v>
      </c>
      <c r="Y8" s="30">
        <v>0.68489999999999995</v>
      </c>
    </row>
    <row r="9" spans="1:25" x14ac:dyDescent="0.3">
      <c r="A9" s="36" t="s">
        <v>189</v>
      </c>
      <c r="B9" s="16" t="s">
        <v>165</v>
      </c>
      <c r="C9" s="4" t="s">
        <v>188</v>
      </c>
      <c r="D9" s="37">
        <v>0.72</v>
      </c>
      <c r="E9" s="31">
        <v>0</v>
      </c>
      <c r="F9" s="31">
        <v>0</v>
      </c>
      <c r="G9" s="30">
        <f t="shared" si="0"/>
        <v>0</v>
      </c>
      <c r="H9" s="30">
        <v>0</v>
      </c>
      <c r="I9" s="30">
        <v>0</v>
      </c>
      <c r="J9" s="30">
        <v>4.1063999999999998</v>
      </c>
      <c r="K9" s="38">
        <v>0.68510000000000004</v>
      </c>
      <c r="L9" s="30">
        <v>0.44529999999999997</v>
      </c>
      <c r="M9" s="31">
        <v>7</v>
      </c>
      <c r="N9" s="31">
        <v>30</v>
      </c>
      <c r="O9" s="30">
        <f t="shared" si="1"/>
        <v>0.23333333333333334</v>
      </c>
      <c r="P9" s="30">
        <v>0.23330000000000001</v>
      </c>
      <c r="Q9" s="30">
        <v>0.23330000000000001</v>
      </c>
      <c r="R9" s="39">
        <v>0.91839999999999999</v>
      </c>
      <c r="S9" s="30">
        <v>0.54549999999999998</v>
      </c>
      <c r="T9" s="35">
        <f t="shared" si="2"/>
        <v>1</v>
      </c>
      <c r="U9" s="35">
        <f t="shared" si="3"/>
        <v>0</v>
      </c>
      <c r="V9" s="35">
        <f t="shared" si="4"/>
        <v>0</v>
      </c>
      <c r="W9" s="40">
        <f t="shared" si="5"/>
        <v>30</v>
      </c>
      <c r="X9" s="4" t="str">
        <f t="shared" si="6"/>
        <v>CENSORED - REVIEW ACTIVE DAY</v>
      </c>
      <c r="Y9" s="30">
        <v>0.68510000000000004</v>
      </c>
    </row>
    <row r="10" spans="1:25" x14ac:dyDescent="0.3">
      <c r="A10" s="36" t="s">
        <v>193</v>
      </c>
      <c r="B10" s="16" t="s">
        <v>165</v>
      </c>
      <c r="C10" s="4" t="s">
        <v>188</v>
      </c>
      <c r="D10" s="37">
        <v>0.72</v>
      </c>
      <c r="E10" s="31">
        <v>11</v>
      </c>
      <c r="F10" s="31">
        <v>30</v>
      </c>
      <c r="G10" s="30">
        <f t="shared" si="0"/>
        <v>0.36666666666666664</v>
      </c>
      <c r="H10" s="30">
        <v>0.36670000000000003</v>
      </c>
      <c r="I10" s="30">
        <v>0.4</v>
      </c>
      <c r="J10" s="30">
        <v>0.36670000000000003</v>
      </c>
      <c r="K10" s="38">
        <v>0.36670000000000003</v>
      </c>
      <c r="L10" s="30">
        <v>0.495</v>
      </c>
      <c r="M10" s="31">
        <v>4</v>
      </c>
      <c r="N10" s="31">
        <v>30</v>
      </c>
      <c r="O10" s="30">
        <f t="shared" si="1"/>
        <v>0.13333333333333333</v>
      </c>
      <c r="P10" s="30">
        <v>0.1333</v>
      </c>
      <c r="Q10" s="30">
        <v>0.1333</v>
      </c>
      <c r="R10" s="39">
        <v>0.5</v>
      </c>
      <c r="S10" s="30">
        <v>0.52669999999999995</v>
      </c>
      <c r="T10" s="35">
        <f t="shared" si="2"/>
        <v>0</v>
      </c>
      <c r="U10" s="35">
        <f t="shared" si="3"/>
        <v>9.0909090909141455E-5</v>
      </c>
      <c r="V10" s="35">
        <f t="shared" si="4"/>
        <v>1</v>
      </c>
      <c r="W10" s="40">
        <f t="shared" si="5"/>
        <v>0</v>
      </c>
      <c r="X10" s="4" t="str">
        <f t="shared" si="6"/>
        <v>OK</v>
      </c>
      <c r="Y10" s="30">
        <v>0.4</v>
      </c>
    </row>
    <row r="11" spans="1:25" x14ac:dyDescent="0.3">
      <c r="A11" s="36" t="s">
        <v>196</v>
      </c>
      <c r="B11" s="16" t="s">
        <v>165</v>
      </c>
      <c r="C11" s="4" t="s">
        <v>188</v>
      </c>
      <c r="D11" s="37">
        <v>0.72</v>
      </c>
      <c r="E11" s="31">
        <v>0</v>
      </c>
      <c r="F11" s="31">
        <v>0</v>
      </c>
      <c r="G11" s="30">
        <f t="shared" si="0"/>
        <v>0</v>
      </c>
      <c r="H11" s="30">
        <v>0</v>
      </c>
      <c r="I11" s="30">
        <v>0</v>
      </c>
      <c r="J11" s="30">
        <v>3.2263999999999999</v>
      </c>
      <c r="K11" s="38">
        <v>0.71899999999999997</v>
      </c>
      <c r="L11" s="30">
        <v>0.46739999999999998</v>
      </c>
      <c r="M11" s="31">
        <v>3</v>
      </c>
      <c r="N11" s="31">
        <v>30</v>
      </c>
      <c r="O11" s="30">
        <f t="shared" si="1"/>
        <v>0.1</v>
      </c>
      <c r="P11" s="30">
        <v>0.1</v>
      </c>
      <c r="Q11" s="30">
        <v>0.1</v>
      </c>
      <c r="R11" s="39">
        <v>0.81899999999999995</v>
      </c>
      <c r="S11" s="30">
        <v>0.48649999999999999</v>
      </c>
      <c r="T11" s="35">
        <f t="shared" si="2"/>
        <v>1</v>
      </c>
      <c r="U11" s="35">
        <f t="shared" si="3"/>
        <v>0</v>
      </c>
      <c r="V11" s="35">
        <f t="shared" si="4"/>
        <v>0</v>
      </c>
      <c r="W11" s="40">
        <f t="shared" si="5"/>
        <v>30</v>
      </c>
      <c r="X11" s="4" t="str">
        <f t="shared" si="6"/>
        <v>CENSORED - REVIEW ACTIVE DAY</v>
      </c>
      <c r="Y11" s="30">
        <v>0.71899999999999997</v>
      </c>
    </row>
    <row r="12" spans="1:25" x14ac:dyDescent="0.3">
      <c r="A12" s="36" t="s">
        <v>200</v>
      </c>
      <c r="B12" s="16" t="s">
        <v>165</v>
      </c>
      <c r="C12" s="4" t="s">
        <v>188</v>
      </c>
      <c r="D12" s="37">
        <v>0.72</v>
      </c>
      <c r="E12" s="31">
        <v>0</v>
      </c>
      <c r="F12" s="31">
        <v>0</v>
      </c>
      <c r="G12" s="30">
        <f t="shared" si="0"/>
        <v>0</v>
      </c>
      <c r="H12" s="30">
        <v>0</v>
      </c>
      <c r="I12" s="30">
        <v>0</v>
      </c>
      <c r="J12" s="30">
        <v>1.5183</v>
      </c>
      <c r="K12" s="38">
        <v>0.28360000000000002</v>
      </c>
      <c r="L12" s="30">
        <v>0.18429999999999999</v>
      </c>
      <c r="M12" s="31">
        <v>0</v>
      </c>
      <c r="N12" s="31">
        <v>30</v>
      </c>
      <c r="O12" s="30">
        <f t="shared" si="1"/>
        <v>0</v>
      </c>
      <c r="P12" s="30">
        <v>0</v>
      </c>
      <c r="Q12" s="30">
        <v>0</v>
      </c>
      <c r="R12" s="39">
        <v>0.28360000000000002</v>
      </c>
      <c r="S12" s="30">
        <v>0.18429999999999999</v>
      </c>
      <c r="T12" s="35">
        <f t="shared" si="2"/>
        <v>1</v>
      </c>
      <c r="U12" s="35">
        <f t="shared" si="3"/>
        <v>0</v>
      </c>
      <c r="V12" s="35">
        <f t="shared" si="4"/>
        <v>0</v>
      </c>
      <c r="W12" s="40">
        <f t="shared" si="5"/>
        <v>30</v>
      </c>
      <c r="X12" s="4" t="str">
        <f t="shared" si="6"/>
        <v>CENSORED - REVIEW ACTIVE DAY</v>
      </c>
      <c r="Y12" s="30">
        <v>0.28360000000000002</v>
      </c>
    </row>
    <row r="13" spans="1:25" x14ac:dyDescent="0.3">
      <c r="A13" s="36" t="s">
        <v>203</v>
      </c>
      <c r="B13" s="16" t="s">
        <v>165</v>
      </c>
      <c r="C13" s="4" t="s">
        <v>188</v>
      </c>
      <c r="D13" s="37">
        <v>0.72</v>
      </c>
      <c r="E13" s="31">
        <v>0</v>
      </c>
      <c r="F13" s="31">
        <v>0</v>
      </c>
      <c r="G13" s="30">
        <f t="shared" si="0"/>
        <v>0</v>
      </c>
      <c r="H13" s="30">
        <v>0</v>
      </c>
      <c r="I13" s="30">
        <v>0</v>
      </c>
      <c r="J13" s="30">
        <v>2.3464999999999998</v>
      </c>
      <c r="K13" s="38">
        <v>0.51500000000000001</v>
      </c>
      <c r="L13" s="30">
        <v>0.33479999999999999</v>
      </c>
      <c r="M13" s="31">
        <v>3</v>
      </c>
      <c r="N13" s="31">
        <v>30</v>
      </c>
      <c r="O13" s="30">
        <f t="shared" si="1"/>
        <v>0.1</v>
      </c>
      <c r="P13" s="30">
        <v>0.1</v>
      </c>
      <c r="Q13" s="30">
        <v>0.1</v>
      </c>
      <c r="R13" s="39">
        <v>0.61499999999999999</v>
      </c>
      <c r="S13" s="30">
        <v>0.36099999999999999</v>
      </c>
      <c r="T13" s="35">
        <f t="shared" si="2"/>
        <v>1</v>
      </c>
      <c r="U13" s="35">
        <f t="shared" si="3"/>
        <v>0</v>
      </c>
      <c r="V13" s="35">
        <f t="shared" si="4"/>
        <v>0</v>
      </c>
      <c r="W13" s="40">
        <f t="shared" si="5"/>
        <v>30</v>
      </c>
      <c r="X13" s="4" t="str">
        <f t="shared" si="6"/>
        <v>CENSORED - REVIEW ACTIVE DAY</v>
      </c>
      <c r="Y13" s="30">
        <v>0.51500000000000001</v>
      </c>
    </row>
    <row r="14" spans="1:25" x14ac:dyDescent="0.3">
      <c r="A14" s="36" t="s">
        <v>207</v>
      </c>
      <c r="B14" s="16" t="s">
        <v>165</v>
      </c>
      <c r="C14" s="4" t="s">
        <v>188</v>
      </c>
      <c r="D14" s="37">
        <v>0.72</v>
      </c>
      <c r="E14" s="31">
        <v>0</v>
      </c>
      <c r="F14" s="31">
        <v>0</v>
      </c>
      <c r="G14" s="30">
        <f t="shared" si="0"/>
        <v>0</v>
      </c>
      <c r="H14" s="30">
        <v>0</v>
      </c>
      <c r="I14" s="30">
        <v>0</v>
      </c>
      <c r="J14" s="30">
        <v>1.1042000000000001</v>
      </c>
      <c r="K14" s="38">
        <v>0.17910000000000001</v>
      </c>
      <c r="L14" s="30">
        <v>0.1164</v>
      </c>
      <c r="M14" s="31">
        <v>0</v>
      </c>
      <c r="N14" s="31">
        <v>30</v>
      </c>
      <c r="O14" s="30">
        <f t="shared" si="1"/>
        <v>0</v>
      </c>
      <c r="P14" s="30">
        <v>0</v>
      </c>
      <c r="Q14" s="30">
        <v>0</v>
      </c>
      <c r="R14" s="39">
        <v>0.17910000000000001</v>
      </c>
      <c r="S14" s="30">
        <v>0.1164</v>
      </c>
      <c r="T14" s="35">
        <f t="shared" si="2"/>
        <v>1</v>
      </c>
      <c r="U14" s="35">
        <f t="shared" si="3"/>
        <v>0</v>
      </c>
      <c r="V14" s="35">
        <f t="shared" si="4"/>
        <v>0</v>
      </c>
      <c r="W14" s="40">
        <f t="shared" si="5"/>
        <v>30</v>
      </c>
      <c r="X14" s="4" t="str">
        <f t="shared" si="6"/>
        <v>CENSORED - REVIEW ACTIVE DAY</v>
      </c>
      <c r="Y14" s="30">
        <v>0.17910000000000001</v>
      </c>
    </row>
    <row r="15" spans="1:25" x14ac:dyDescent="0.3">
      <c r="A15" s="36" t="s">
        <v>210</v>
      </c>
      <c r="B15" s="16" t="s">
        <v>165</v>
      </c>
      <c r="C15" s="4" t="s">
        <v>188</v>
      </c>
      <c r="D15" s="37">
        <v>0.72</v>
      </c>
      <c r="E15" s="31">
        <v>8</v>
      </c>
      <c r="F15" s="31">
        <v>30</v>
      </c>
      <c r="G15" s="30">
        <f t="shared" si="0"/>
        <v>0.26666666666666666</v>
      </c>
      <c r="H15" s="30">
        <v>0.26669999999999999</v>
      </c>
      <c r="I15" s="30">
        <v>0.22220000000000001</v>
      </c>
      <c r="J15" s="30">
        <v>0.26669999999999999</v>
      </c>
      <c r="K15" s="38">
        <v>0.26669999999999999</v>
      </c>
      <c r="L15" s="30">
        <v>0.36</v>
      </c>
      <c r="M15" s="31">
        <v>4</v>
      </c>
      <c r="N15" s="31">
        <v>30</v>
      </c>
      <c r="O15" s="30">
        <f t="shared" si="1"/>
        <v>0.13333333333333333</v>
      </c>
      <c r="P15" s="30">
        <v>0.1333</v>
      </c>
      <c r="Q15" s="30">
        <v>0.1333</v>
      </c>
      <c r="R15" s="39">
        <v>0.4</v>
      </c>
      <c r="S15" s="30">
        <v>0.40250000000000002</v>
      </c>
      <c r="T15" s="35">
        <f t="shared" si="2"/>
        <v>0</v>
      </c>
      <c r="U15" s="35">
        <f t="shared" si="3"/>
        <v>1.2499999999993072E-4</v>
      </c>
      <c r="V15" s="35">
        <f t="shared" si="4"/>
        <v>1</v>
      </c>
      <c r="W15" s="40">
        <f t="shared" si="5"/>
        <v>0</v>
      </c>
      <c r="X15" s="4" t="str">
        <f t="shared" si="6"/>
        <v>OK</v>
      </c>
      <c r="Y15" s="30">
        <v>0.22220000000000001</v>
      </c>
    </row>
    <row r="16" spans="1:25" x14ac:dyDescent="0.3">
      <c r="A16" s="36" t="s">
        <v>214</v>
      </c>
      <c r="B16" s="16" t="s">
        <v>165</v>
      </c>
      <c r="C16" s="4" t="s">
        <v>188</v>
      </c>
      <c r="D16" s="37">
        <v>0.72</v>
      </c>
      <c r="E16" s="31">
        <v>0</v>
      </c>
      <c r="F16" s="31">
        <v>0</v>
      </c>
      <c r="G16" s="30">
        <f t="shared" si="0"/>
        <v>0</v>
      </c>
      <c r="H16" s="30">
        <v>0</v>
      </c>
      <c r="I16" s="30">
        <v>0</v>
      </c>
      <c r="J16" s="30">
        <v>0.69010000000000005</v>
      </c>
      <c r="K16" s="38">
        <v>0.115</v>
      </c>
      <c r="L16" s="30">
        <v>7.4800000000000005E-2</v>
      </c>
      <c r="M16" s="31">
        <v>1</v>
      </c>
      <c r="N16" s="31">
        <v>30</v>
      </c>
      <c r="O16" s="30">
        <f t="shared" si="1"/>
        <v>3.3333333333333333E-2</v>
      </c>
      <c r="P16" s="30">
        <v>3.3300000000000003E-2</v>
      </c>
      <c r="Q16" s="30">
        <v>3.3300000000000003E-2</v>
      </c>
      <c r="R16" s="39">
        <v>0.14829999999999999</v>
      </c>
      <c r="S16" s="30">
        <v>8.7300000000000003E-2</v>
      </c>
      <c r="T16" s="35">
        <f t="shared" si="2"/>
        <v>1</v>
      </c>
      <c r="U16" s="35">
        <f t="shared" si="3"/>
        <v>0</v>
      </c>
      <c r="V16" s="35">
        <f t="shared" si="4"/>
        <v>0</v>
      </c>
      <c r="W16" s="40">
        <f t="shared" si="5"/>
        <v>30</v>
      </c>
      <c r="X16" s="4" t="str">
        <f t="shared" si="6"/>
        <v>CENSORED - REVIEW ACTIVE DAY</v>
      </c>
      <c r="Y16" s="30">
        <v>0.115</v>
      </c>
    </row>
    <row r="17" spans="1:25" x14ac:dyDescent="0.3">
      <c r="A17" s="36" t="s">
        <v>217</v>
      </c>
      <c r="B17" s="16" t="s">
        <v>165</v>
      </c>
      <c r="C17" s="4" t="s">
        <v>221</v>
      </c>
      <c r="D17" s="37">
        <v>0.72</v>
      </c>
      <c r="E17" s="31">
        <v>606</v>
      </c>
      <c r="F17" s="31">
        <v>18.769100000000002</v>
      </c>
      <c r="G17" s="30">
        <f t="shared" si="0"/>
        <v>20.2</v>
      </c>
      <c r="H17" s="30">
        <v>32.287100000000002</v>
      </c>
      <c r="I17" s="30">
        <v>33.261800000000001</v>
      </c>
      <c r="J17" s="30">
        <v>50.167400000000001</v>
      </c>
      <c r="K17" s="38">
        <v>32.287100000000002</v>
      </c>
      <c r="L17" s="30">
        <v>10.2539</v>
      </c>
      <c r="M17" s="31">
        <v>490</v>
      </c>
      <c r="N17" s="31">
        <v>30</v>
      </c>
      <c r="O17" s="30">
        <f t="shared" si="1"/>
        <v>16.333333333333332</v>
      </c>
      <c r="P17" s="30">
        <v>16.333300000000001</v>
      </c>
      <c r="Q17" s="30">
        <v>16.333300000000001</v>
      </c>
      <c r="R17" s="39">
        <v>48.620399999999997</v>
      </c>
      <c r="S17" s="30">
        <v>11.5092</v>
      </c>
      <c r="T17" s="35">
        <f t="shared" si="2"/>
        <v>0.37436333333333327</v>
      </c>
      <c r="U17" s="35">
        <f t="shared" si="3"/>
        <v>0.59837128712871301</v>
      </c>
      <c r="V17" s="35">
        <f t="shared" si="4"/>
        <v>0.62563666666666673</v>
      </c>
      <c r="W17" s="40">
        <f t="shared" si="5"/>
        <v>11.230899999999998</v>
      </c>
      <c r="X17" s="4" t="str">
        <f t="shared" si="6"/>
        <v>CENSORED - REVIEW ACTIVE DAY</v>
      </c>
      <c r="Y17" s="30">
        <v>33.261800000000001</v>
      </c>
    </row>
    <row r="18" spans="1:25" x14ac:dyDescent="0.3">
      <c r="A18" s="36" t="s">
        <v>222</v>
      </c>
      <c r="B18" s="16" t="s">
        <v>165</v>
      </c>
      <c r="C18" s="4" t="s">
        <v>221</v>
      </c>
      <c r="D18" s="37">
        <v>0.72</v>
      </c>
      <c r="E18" s="31">
        <v>742</v>
      </c>
      <c r="F18" s="31">
        <v>27</v>
      </c>
      <c r="G18" s="30">
        <f t="shared" si="0"/>
        <v>24.733333333333334</v>
      </c>
      <c r="H18" s="30">
        <v>27.4815</v>
      </c>
      <c r="I18" s="30">
        <v>24.478999999999999</v>
      </c>
      <c r="J18" s="30">
        <v>20.538</v>
      </c>
      <c r="K18" s="38">
        <v>27.4815</v>
      </c>
      <c r="L18" s="30">
        <v>8.5995000000000008</v>
      </c>
      <c r="M18" s="31">
        <v>197</v>
      </c>
      <c r="N18" s="31">
        <v>20.884699999999999</v>
      </c>
      <c r="O18" s="30">
        <f t="shared" si="1"/>
        <v>6.5666666666666664</v>
      </c>
      <c r="P18" s="30">
        <v>9.4327000000000005</v>
      </c>
      <c r="Q18" s="30">
        <v>9.4327000000000005</v>
      </c>
      <c r="R18" s="39">
        <v>36.914200000000001</v>
      </c>
      <c r="S18" s="30">
        <v>9.1138999999999992</v>
      </c>
      <c r="T18" s="35">
        <f t="shared" si="2"/>
        <v>0.1</v>
      </c>
      <c r="U18" s="35">
        <f t="shared" si="3"/>
        <v>0.11111185983827498</v>
      </c>
      <c r="V18" s="35">
        <f t="shared" si="4"/>
        <v>0.9</v>
      </c>
      <c r="W18" s="40">
        <f t="shared" si="5"/>
        <v>3</v>
      </c>
      <c r="X18" s="4" t="str">
        <f t="shared" si="6"/>
        <v>OK</v>
      </c>
      <c r="Y18" s="30">
        <v>24.478999999999999</v>
      </c>
    </row>
    <row r="19" spans="1:25" x14ac:dyDescent="0.3">
      <c r="A19" s="36" t="s">
        <v>225</v>
      </c>
      <c r="B19" s="16" t="s">
        <v>165</v>
      </c>
      <c r="C19" s="4" t="s">
        <v>221</v>
      </c>
      <c r="D19" s="37">
        <v>0.72</v>
      </c>
      <c r="E19" s="31">
        <v>1026</v>
      </c>
      <c r="F19" s="31">
        <v>28.146100000000001</v>
      </c>
      <c r="G19" s="30">
        <f t="shared" si="0"/>
        <v>34.200000000000003</v>
      </c>
      <c r="H19" s="30">
        <v>36.4527</v>
      </c>
      <c r="I19" s="30">
        <v>32.321300000000001</v>
      </c>
      <c r="J19" s="30">
        <v>30.296600000000002</v>
      </c>
      <c r="K19" s="38">
        <v>36.4527</v>
      </c>
      <c r="L19" s="30">
        <v>11.6648</v>
      </c>
      <c r="M19" s="31">
        <v>442</v>
      </c>
      <c r="N19" s="31">
        <v>30</v>
      </c>
      <c r="O19" s="30">
        <f t="shared" si="1"/>
        <v>14.733333333333333</v>
      </c>
      <c r="P19" s="30">
        <v>14.7333</v>
      </c>
      <c r="Q19" s="30">
        <v>14.7333</v>
      </c>
      <c r="R19" s="39">
        <v>51.186</v>
      </c>
      <c r="S19" s="30">
        <v>12.5816</v>
      </c>
      <c r="T19" s="35">
        <f t="shared" si="2"/>
        <v>6.1796666666666646E-2</v>
      </c>
      <c r="U19" s="35">
        <f t="shared" si="3"/>
        <v>6.5868421052631465E-2</v>
      </c>
      <c r="V19" s="35">
        <f t="shared" si="4"/>
        <v>0.93820333333333339</v>
      </c>
      <c r="W19" s="40">
        <f t="shared" si="5"/>
        <v>1.8538999999999994</v>
      </c>
      <c r="X19" s="4" t="str">
        <f t="shared" si="6"/>
        <v>OK</v>
      </c>
      <c r="Y19" s="30">
        <v>32.321300000000001</v>
      </c>
    </row>
    <row r="20" spans="1:25" x14ac:dyDescent="0.3">
      <c r="A20" s="36" t="s">
        <v>228</v>
      </c>
      <c r="B20" s="16" t="s">
        <v>165</v>
      </c>
      <c r="C20" s="4" t="s">
        <v>221</v>
      </c>
      <c r="D20" s="37">
        <v>0.72</v>
      </c>
      <c r="E20" s="31">
        <v>522</v>
      </c>
      <c r="F20" s="31">
        <v>30</v>
      </c>
      <c r="G20" s="30">
        <f t="shared" si="0"/>
        <v>17.399999999999999</v>
      </c>
      <c r="H20" s="30">
        <v>17.399999999999999</v>
      </c>
      <c r="I20" s="30">
        <v>16.7667</v>
      </c>
      <c r="J20" s="30">
        <v>17.399999999999999</v>
      </c>
      <c r="K20" s="38">
        <v>17.399999999999999</v>
      </c>
      <c r="L20" s="30">
        <v>5.5679999999999996</v>
      </c>
      <c r="M20" s="31">
        <v>61</v>
      </c>
      <c r="N20" s="31">
        <v>6.5144000000000002</v>
      </c>
      <c r="O20" s="30">
        <f t="shared" si="1"/>
        <v>2.0333333333333332</v>
      </c>
      <c r="P20" s="30">
        <v>9.3638999999999992</v>
      </c>
      <c r="Q20" s="30">
        <v>9.3638999999999992</v>
      </c>
      <c r="R20" s="39">
        <v>26.7639</v>
      </c>
      <c r="S20" s="30">
        <v>6.3231000000000002</v>
      </c>
      <c r="T20" s="35">
        <f t="shared" si="2"/>
        <v>0</v>
      </c>
      <c r="U20" s="35">
        <f t="shared" si="3"/>
        <v>0</v>
      </c>
      <c r="V20" s="35">
        <f t="shared" si="4"/>
        <v>1</v>
      </c>
      <c r="W20" s="40">
        <f t="shared" si="5"/>
        <v>0</v>
      </c>
      <c r="X20" s="4" t="str">
        <f t="shared" si="6"/>
        <v>OK</v>
      </c>
      <c r="Y20" s="30">
        <v>16.7667</v>
      </c>
    </row>
    <row r="21" spans="1:25" x14ac:dyDescent="0.3">
      <c r="A21" s="36" t="s">
        <v>231</v>
      </c>
      <c r="B21" s="16" t="s">
        <v>165</v>
      </c>
      <c r="C21" s="4" t="s">
        <v>221</v>
      </c>
      <c r="D21" s="37">
        <v>0.72</v>
      </c>
      <c r="E21" s="31">
        <v>599</v>
      </c>
      <c r="F21" s="31">
        <v>30</v>
      </c>
      <c r="G21" s="30">
        <f t="shared" si="0"/>
        <v>19.966666666666665</v>
      </c>
      <c r="H21" s="30">
        <v>19.966699999999999</v>
      </c>
      <c r="I21" s="30">
        <v>19.066700000000001</v>
      </c>
      <c r="J21" s="30">
        <v>19.966699999999999</v>
      </c>
      <c r="K21" s="38">
        <v>19.966699999999999</v>
      </c>
      <c r="L21" s="30">
        <v>5.0400999999999998</v>
      </c>
      <c r="M21" s="31">
        <v>215</v>
      </c>
      <c r="N21" s="31">
        <v>30</v>
      </c>
      <c r="O21" s="30">
        <f t="shared" si="1"/>
        <v>7.166666666666667</v>
      </c>
      <c r="P21" s="30">
        <v>7.1666999999999996</v>
      </c>
      <c r="Q21" s="30">
        <v>7.1666999999999996</v>
      </c>
      <c r="R21" s="39">
        <v>27.133400000000002</v>
      </c>
      <c r="S21" s="30">
        <v>5.5373000000000001</v>
      </c>
      <c r="T21" s="35">
        <f t="shared" si="2"/>
        <v>0</v>
      </c>
      <c r="U21" s="35">
        <f t="shared" si="3"/>
        <v>1.6694490818647267E-6</v>
      </c>
      <c r="V21" s="35">
        <f t="shared" si="4"/>
        <v>1</v>
      </c>
      <c r="W21" s="40">
        <f t="shared" si="5"/>
        <v>0</v>
      </c>
      <c r="X21" s="4" t="str">
        <f t="shared" si="6"/>
        <v>OK</v>
      </c>
      <c r="Y21" s="30">
        <v>19.066700000000001</v>
      </c>
    </row>
    <row r="22" spans="1:25" x14ac:dyDescent="0.3">
      <c r="A22" s="36" t="s">
        <v>234</v>
      </c>
      <c r="B22" s="16" t="s">
        <v>165</v>
      </c>
      <c r="C22" s="4" t="s">
        <v>184</v>
      </c>
      <c r="D22" s="37">
        <v>0.72</v>
      </c>
      <c r="E22" s="31">
        <v>14</v>
      </c>
      <c r="F22" s="31">
        <v>6.3404999999999996</v>
      </c>
      <c r="G22" s="30">
        <f t="shared" si="0"/>
        <v>0.46666666666666667</v>
      </c>
      <c r="H22" s="30">
        <v>2.2080000000000002</v>
      </c>
      <c r="I22" s="30">
        <v>2.3515000000000001</v>
      </c>
      <c r="J22" s="30">
        <v>8.6659000000000006</v>
      </c>
      <c r="K22" s="38">
        <v>2.2080000000000002</v>
      </c>
      <c r="L22" s="30">
        <v>1.1040000000000001</v>
      </c>
      <c r="M22" s="31">
        <v>21</v>
      </c>
      <c r="N22" s="31">
        <v>30</v>
      </c>
      <c r="O22" s="30">
        <f t="shared" si="1"/>
        <v>0.7</v>
      </c>
      <c r="P22" s="30">
        <v>0.7</v>
      </c>
      <c r="Q22" s="30">
        <v>0.7</v>
      </c>
      <c r="R22" s="39">
        <v>2.9079999999999999</v>
      </c>
      <c r="S22" s="30">
        <v>1.1581999999999999</v>
      </c>
      <c r="T22" s="35">
        <f t="shared" si="2"/>
        <v>0.78865000000000007</v>
      </c>
      <c r="U22" s="35">
        <f t="shared" si="3"/>
        <v>3.7314285714285713</v>
      </c>
      <c r="V22" s="35">
        <f t="shared" si="4"/>
        <v>0.21134999999999998</v>
      </c>
      <c r="W22" s="40">
        <f t="shared" si="5"/>
        <v>23.659500000000001</v>
      </c>
      <c r="X22" s="4" t="str">
        <f t="shared" si="6"/>
        <v>CENSORED - REVIEW ACTIVE DAY</v>
      </c>
      <c r="Y22" s="30">
        <v>2.3515000000000001</v>
      </c>
    </row>
    <row r="23" spans="1:25" x14ac:dyDescent="0.3">
      <c r="A23" s="36" t="s">
        <v>237</v>
      </c>
      <c r="B23" s="16" t="s">
        <v>165</v>
      </c>
      <c r="C23" s="4" t="s">
        <v>221</v>
      </c>
      <c r="D23" s="37">
        <v>0.72</v>
      </c>
      <c r="E23" s="31">
        <v>503</v>
      </c>
      <c r="F23" s="31">
        <v>26.267499999999998</v>
      </c>
      <c r="G23" s="30">
        <f t="shared" si="0"/>
        <v>16.766666666666666</v>
      </c>
      <c r="H23" s="30">
        <v>19.149100000000001</v>
      </c>
      <c r="I23" s="30">
        <v>18.4648</v>
      </c>
      <c r="J23" s="30">
        <v>14.1012</v>
      </c>
      <c r="K23" s="38">
        <v>19.149100000000001</v>
      </c>
      <c r="L23" s="30">
        <v>6.1025999999999998</v>
      </c>
      <c r="M23" s="31">
        <v>2</v>
      </c>
      <c r="N23" s="31">
        <v>0.24440000000000001</v>
      </c>
      <c r="O23" s="30">
        <f t="shared" si="1"/>
        <v>6.6666666666666666E-2</v>
      </c>
      <c r="P23" s="30">
        <v>8.1832999999999991</v>
      </c>
      <c r="Q23" s="30">
        <v>8.1832999999999991</v>
      </c>
      <c r="R23" s="39">
        <v>27.3324</v>
      </c>
      <c r="S23" s="30">
        <v>6.6406999999999998</v>
      </c>
      <c r="T23" s="35">
        <f t="shared" si="2"/>
        <v>0.12441666666666672</v>
      </c>
      <c r="U23" s="35">
        <f t="shared" si="3"/>
        <v>0.14209343936381713</v>
      </c>
      <c r="V23" s="35">
        <f t="shared" si="4"/>
        <v>0.87558333333333327</v>
      </c>
      <c r="W23" s="40">
        <f t="shared" si="5"/>
        <v>3.7325000000000017</v>
      </c>
      <c r="X23" s="4" t="str">
        <f t="shared" si="6"/>
        <v>OK</v>
      </c>
      <c r="Y23" s="30">
        <v>18.4648</v>
      </c>
    </row>
    <row r="24" spans="1:25" x14ac:dyDescent="0.3">
      <c r="A24" s="36" t="s">
        <v>240</v>
      </c>
      <c r="B24" s="16" t="s">
        <v>165</v>
      </c>
      <c r="C24" s="4" t="s">
        <v>184</v>
      </c>
      <c r="D24" s="37">
        <v>0.72</v>
      </c>
      <c r="E24" s="31">
        <v>0</v>
      </c>
      <c r="F24" s="31">
        <v>0</v>
      </c>
      <c r="G24" s="30">
        <f t="shared" si="0"/>
        <v>0</v>
      </c>
      <c r="H24" s="30">
        <v>0</v>
      </c>
      <c r="I24" s="30">
        <v>0</v>
      </c>
      <c r="J24" s="30">
        <v>6.5793999999999997</v>
      </c>
      <c r="K24" s="38">
        <v>2.2332000000000001</v>
      </c>
      <c r="L24" s="30">
        <v>0.67</v>
      </c>
      <c r="M24" s="31">
        <v>32</v>
      </c>
      <c r="N24" s="31">
        <v>30</v>
      </c>
      <c r="O24" s="30">
        <f t="shared" si="1"/>
        <v>1.0666666666666667</v>
      </c>
      <c r="P24" s="30">
        <v>1.0667</v>
      </c>
      <c r="Q24" s="30">
        <v>1.0667</v>
      </c>
      <c r="R24" s="39">
        <v>3.2999000000000001</v>
      </c>
      <c r="S24" s="30">
        <v>0.85629999999999995</v>
      </c>
      <c r="T24" s="35">
        <f t="shared" si="2"/>
        <v>1</v>
      </c>
      <c r="U24" s="35">
        <f t="shared" si="3"/>
        <v>0</v>
      </c>
      <c r="V24" s="35">
        <f t="shared" si="4"/>
        <v>0</v>
      </c>
      <c r="W24" s="40">
        <f t="shared" si="5"/>
        <v>30</v>
      </c>
      <c r="X24" s="4" t="str">
        <f t="shared" si="6"/>
        <v>CENSORED - REVIEW ACTIVE DAY</v>
      </c>
      <c r="Y24" s="30">
        <v>2.2332000000000001</v>
      </c>
    </row>
    <row r="25" spans="1:25" x14ac:dyDescent="0.3">
      <c r="A25" s="36" t="s">
        <v>243</v>
      </c>
      <c r="B25" s="16" t="s">
        <v>165</v>
      </c>
      <c r="C25" s="4" t="s">
        <v>172</v>
      </c>
      <c r="D25" s="37">
        <v>0.72</v>
      </c>
      <c r="E25" s="31">
        <v>355</v>
      </c>
      <c r="F25" s="31">
        <v>30</v>
      </c>
      <c r="G25" s="30">
        <f t="shared" si="0"/>
        <v>11.833333333333334</v>
      </c>
      <c r="H25" s="30">
        <v>11.833299999999999</v>
      </c>
      <c r="I25" s="30">
        <v>10.8667</v>
      </c>
      <c r="J25" s="30">
        <v>11.833299999999999</v>
      </c>
      <c r="K25" s="38">
        <v>11.833299999999999</v>
      </c>
      <c r="L25" s="30">
        <v>5.2088999999999999</v>
      </c>
      <c r="M25" s="31">
        <v>99</v>
      </c>
      <c r="N25" s="31">
        <v>18.338999999999999</v>
      </c>
      <c r="O25" s="30">
        <f t="shared" si="1"/>
        <v>3.3</v>
      </c>
      <c r="P25" s="30">
        <v>5.3982999999999999</v>
      </c>
      <c r="Q25" s="30">
        <v>5.3982999999999999</v>
      </c>
      <c r="R25" s="39">
        <v>17.2316</v>
      </c>
      <c r="S25" s="30">
        <v>5.7474999999999996</v>
      </c>
      <c r="T25" s="35">
        <f t="shared" si="2"/>
        <v>0</v>
      </c>
      <c r="U25" s="35">
        <f t="shared" si="3"/>
        <v>-2.8169014085754895E-6</v>
      </c>
      <c r="V25" s="35">
        <f t="shared" si="4"/>
        <v>1</v>
      </c>
      <c r="W25" s="40">
        <f t="shared" si="5"/>
        <v>0</v>
      </c>
      <c r="X25" s="4" t="str">
        <f t="shared" si="6"/>
        <v>OK</v>
      </c>
      <c r="Y25" s="30">
        <v>10.8667</v>
      </c>
    </row>
    <row r="26" spans="1:25" x14ac:dyDescent="0.3">
      <c r="A26" s="36" t="s">
        <v>246</v>
      </c>
      <c r="B26" s="16" t="s">
        <v>165</v>
      </c>
      <c r="C26" s="4" t="s">
        <v>179</v>
      </c>
      <c r="D26" s="37">
        <v>0.72</v>
      </c>
      <c r="E26" s="31">
        <v>0</v>
      </c>
      <c r="F26" s="31">
        <v>0</v>
      </c>
      <c r="G26" s="30">
        <f t="shared" si="0"/>
        <v>0</v>
      </c>
      <c r="H26" s="30">
        <v>0</v>
      </c>
      <c r="I26" s="30">
        <v>1.6586000000000001</v>
      </c>
      <c r="J26" s="30">
        <v>4.7850000000000001</v>
      </c>
      <c r="K26" s="38">
        <v>1.6586000000000001</v>
      </c>
      <c r="L26" s="30">
        <v>1.1277999999999999</v>
      </c>
      <c r="M26" s="31">
        <v>18</v>
      </c>
      <c r="N26" s="31">
        <v>30</v>
      </c>
      <c r="O26" s="30">
        <f t="shared" si="1"/>
        <v>0.6</v>
      </c>
      <c r="P26" s="30">
        <v>0.6</v>
      </c>
      <c r="Q26" s="30">
        <v>0.6</v>
      </c>
      <c r="R26" s="39">
        <v>2.2585999999999999</v>
      </c>
      <c r="S26" s="30">
        <v>1.1993</v>
      </c>
      <c r="T26" s="35">
        <f t="shared" si="2"/>
        <v>1</v>
      </c>
      <c r="U26" s="35">
        <f t="shared" si="3"/>
        <v>0</v>
      </c>
      <c r="V26" s="35">
        <f t="shared" si="4"/>
        <v>0</v>
      </c>
      <c r="W26" s="40">
        <f t="shared" si="5"/>
        <v>30</v>
      </c>
      <c r="X26" s="4" t="str">
        <f t="shared" si="6"/>
        <v>CENSORED - REVIEW ACTIVE DAY</v>
      </c>
      <c r="Y26" s="30">
        <v>1.6586000000000001</v>
      </c>
    </row>
    <row r="27" spans="1:25" x14ac:dyDescent="0.3">
      <c r="A27" s="36" t="s">
        <v>249</v>
      </c>
      <c r="B27" s="16" t="s">
        <v>165</v>
      </c>
      <c r="C27" s="4" t="s">
        <v>179</v>
      </c>
      <c r="D27" s="37">
        <v>0.72</v>
      </c>
      <c r="E27" s="31">
        <v>51</v>
      </c>
      <c r="F27" s="31">
        <v>30</v>
      </c>
      <c r="G27" s="30">
        <f t="shared" si="0"/>
        <v>1.7</v>
      </c>
      <c r="H27" s="30">
        <v>1.7</v>
      </c>
      <c r="I27" s="30">
        <v>1.6115999999999999</v>
      </c>
      <c r="J27" s="30">
        <v>1.7</v>
      </c>
      <c r="K27" s="38">
        <v>1.7</v>
      </c>
      <c r="L27" s="30">
        <v>1.1559999999999999</v>
      </c>
      <c r="M27" s="31">
        <v>19</v>
      </c>
      <c r="N27" s="31">
        <v>30</v>
      </c>
      <c r="O27" s="30">
        <f t="shared" si="1"/>
        <v>0.6333333333333333</v>
      </c>
      <c r="P27" s="30">
        <v>0.63329999999999997</v>
      </c>
      <c r="Q27" s="30">
        <v>0.63329999999999997</v>
      </c>
      <c r="R27" s="39">
        <v>2.3332999999999999</v>
      </c>
      <c r="S27" s="30">
        <v>1.2336</v>
      </c>
      <c r="T27" s="35">
        <f t="shared" si="2"/>
        <v>0</v>
      </c>
      <c r="U27" s="35">
        <f t="shared" si="3"/>
        <v>0</v>
      </c>
      <c r="V27" s="35">
        <f t="shared" si="4"/>
        <v>1</v>
      </c>
      <c r="W27" s="40">
        <f t="shared" si="5"/>
        <v>0</v>
      </c>
      <c r="X27" s="4" t="str">
        <f t="shared" si="6"/>
        <v>OK</v>
      </c>
      <c r="Y27" s="30">
        <v>1.6115999999999999</v>
      </c>
    </row>
    <row r="28" spans="1:25" x14ac:dyDescent="0.3">
      <c r="A28" s="36" t="s">
        <v>252</v>
      </c>
      <c r="B28" s="16" t="s">
        <v>165</v>
      </c>
      <c r="C28" s="4" t="s">
        <v>188</v>
      </c>
      <c r="D28" s="37">
        <v>0.72</v>
      </c>
      <c r="E28" s="31">
        <v>0</v>
      </c>
      <c r="F28" s="31">
        <v>0</v>
      </c>
      <c r="G28" s="30">
        <f t="shared" si="0"/>
        <v>0</v>
      </c>
      <c r="H28" s="30">
        <v>0</v>
      </c>
      <c r="I28" s="30">
        <v>0</v>
      </c>
      <c r="J28" s="30">
        <v>2.9906000000000001</v>
      </c>
      <c r="K28" s="38">
        <v>0.68589999999999995</v>
      </c>
      <c r="L28" s="30">
        <v>0.44579999999999997</v>
      </c>
      <c r="M28" s="31">
        <v>7</v>
      </c>
      <c r="N28" s="31">
        <v>30</v>
      </c>
      <c r="O28" s="30">
        <f t="shared" si="1"/>
        <v>0.23333333333333334</v>
      </c>
      <c r="P28" s="30">
        <v>0.23330000000000001</v>
      </c>
      <c r="Q28" s="30">
        <v>0.23330000000000001</v>
      </c>
      <c r="R28" s="39">
        <v>0.91920000000000002</v>
      </c>
      <c r="S28" s="30">
        <v>0.54590000000000005</v>
      </c>
      <c r="T28" s="35">
        <f t="shared" si="2"/>
        <v>1</v>
      </c>
      <c r="U28" s="35">
        <f t="shared" si="3"/>
        <v>0</v>
      </c>
      <c r="V28" s="35">
        <f t="shared" si="4"/>
        <v>0</v>
      </c>
      <c r="W28" s="40">
        <f t="shared" si="5"/>
        <v>30</v>
      </c>
      <c r="X28" s="4" t="str">
        <f t="shared" si="6"/>
        <v>CENSORED - REVIEW ACTIVE DAY</v>
      </c>
      <c r="Y28" s="30">
        <v>0.68589999999999995</v>
      </c>
    </row>
    <row r="29" spans="1:25" x14ac:dyDescent="0.3">
      <c r="A29" s="36" t="s">
        <v>255</v>
      </c>
      <c r="B29" s="16" t="s">
        <v>165</v>
      </c>
      <c r="C29" s="4" t="s">
        <v>221</v>
      </c>
      <c r="D29" s="37">
        <v>0.72</v>
      </c>
      <c r="E29" s="31">
        <v>1080</v>
      </c>
      <c r="F29" s="31">
        <v>25.1646</v>
      </c>
      <c r="G29" s="30">
        <f t="shared" si="0"/>
        <v>36</v>
      </c>
      <c r="H29" s="30">
        <v>42.917400000000001</v>
      </c>
      <c r="I29" s="30">
        <v>35.789499999999997</v>
      </c>
      <c r="J29" s="30">
        <v>29.9665</v>
      </c>
      <c r="K29" s="38">
        <v>42.917400000000001</v>
      </c>
      <c r="L29" s="30">
        <v>13.733599999999999</v>
      </c>
      <c r="M29" s="31">
        <v>396</v>
      </c>
      <c r="N29" s="31">
        <v>27.8309</v>
      </c>
      <c r="O29" s="30">
        <f t="shared" si="1"/>
        <v>13.2</v>
      </c>
      <c r="P29" s="30">
        <v>14.2288</v>
      </c>
      <c r="Q29" s="30">
        <v>14.2288</v>
      </c>
      <c r="R29" s="39">
        <v>57.1462</v>
      </c>
      <c r="S29" s="30">
        <v>14.4687</v>
      </c>
      <c r="T29" s="35">
        <f t="shared" si="2"/>
        <v>0.16117999999999999</v>
      </c>
      <c r="U29" s="35">
        <f t="shared" si="3"/>
        <v>0.19215000000000004</v>
      </c>
      <c r="V29" s="35">
        <f t="shared" si="4"/>
        <v>0.83882000000000001</v>
      </c>
      <c r="W29" s="40">
        <f t="shared" si="5"/>
        <v>4.8353999999999999</v>
      </c>
      <c r="X29" s="4" t="str">
        <f t="shared" si="6"/>
        <v>OK</v>
      </c>
      <c r="Y29" s="30">
        <v>35.789499999999997</v>
      </c>
    </row>
    <row r="30" spans="1:25" x14ac:dyDescent="0.3">
      <c r="A30" s="36" t="s">
        <v>259</v>
      </c>
      <c r="B30" s="16" t="s">
        <v>165</v>
      </c>
      <c r="C30" s="4" t="s">
        <v>221</v>
      </c>
      <c r="D30" s="37">
        <v>0.72</v>
      </c>
      <c r="E30" s="31">
        <v>218</v>
      </c>
      <c r="F30" s="31">
        <v>11.902799999999999</v>
      </c>
      <c r="G30" s="30">
        <f t="shared" si="0"/>
        <v>7.2666666666666666</v>
      </c>
      <c r="H30" s="30">
        <v>18.315000000000001</v>
      </c>
      <c r="I30" s="30">
        <v>17.885300000000001</v>
      </c>
      <c r="J30" s="30">
        <v>16.283300000000001</v>
      </c>
      <c r="K30" s="38">
        <v>18.315000000000001</v>
      </c>
      <c r="L30" s="30">
        <v>5.8608000000000002</v>
      </c>
      <c r="M30" s="31">
        <v>63</v>
      </c>
      <c r="N30" s="31">
        <v>8</v>
      </c>
      <c r="O30" s="30">
        <f t="shared" si="1"/>
        <v>2.1</v>
      </c>
      <c r="P30" s="30">
        <v>7.875</v>
      </c>
      <c r="Q30" s="30">
        <v>7.875</v>
      </c>
      <c r="R30" s="39">
        <v>26.19</v>
      </c>
      <c r="S30" s="30">
        <v>6.3795999999999999</v>
      </c>
      <c r="T30" s="35">
        <f t="shared" si="2"/>
        <v>0.60324</v>
      </c>
      <c r="U30" s="35">
        <f t="shared" si="3"/>
        <v>1.5204128440366973</v>
      </c>
      <c r="V30" s="35">
        <f t="shared" si="4"/>
        <v>0.39675999999999995</v>
      </c>
      <c r="W30" s="40">
        <f t="shared" si="5"/>
        <v>18.097200000000001</v>
      </c>
      <c r="X30" s="4" t="str">
        <f t="shared" si="6"/>
        <v>CENSORED - REVIEW ACTIVE DAY</v>
      </c>
      <c r="Y30" s="30">
        <v>17.885300000000001</v>
      </c>
    </row>
    <row r="31" spans="1:25" x14ac:dyDescent="0.3">
      <c r="A31" s="36" t="s">
        <v>262</v>
      </c>
      <c r="B31" s="16" t="s">
        <v>165</v>
      </c>
      <c r="C31" s="4" t="s">
        <v>221</v>
      </c>
      <c r="D31" s="37">
        <v>0.72</v>
      </c>
      <c r="E31" s="31">
        <v>758</v>
      </c>
      <c r="F31" s="31">
        <v>30</v>
      </c>
      <c r="G31" s="30">
        <f t="shared" si="0"/>
        <v>25.266666666666666</v>
      </c>
      <c r="H31" s="30">
        <v>25.2667</v>
      </c>
      <c r="I31" s="30">
        <v>23.777799999999999</v>
      </c>
      <c r="J31" s="30">
        <v>25.2667</v>
      </c>
      <c r="K31" s="38">
        <v>25.2667</v>
      </c>
      <c r="L31" s="30">
        <v>6.1151999999999997</v>
      </c>
      <c r="M31" s="31">
        <v>258</v>
      </c>
      <c r="N31" s="31">
        <v>30</v>
      </c>
      <c r="O31" s="30">
        <f t="shared" si="1"/>
        <v>8.6</v>
      </c>
      <c r="P31" s="30">
        <v>8.6</v>
      </c>
      <c r="Q31" s="30">
        <v>8.6</v>
      </c>
      <c r="R31" s="39">
        <v>33.866700000000002</v>
      </c>
      <c r="S31" s="30">
        <v>6.7058999999999997</v>
      </c>
      <c r="T31" s="35">
        <f t="shared" si="2"/>
        <v>0</v>
      </c>
      <c r="U31" s="35">
        <f t="shared" si="3"/>
        <v>1.3192612138279713E-6</v>
      </c>
      <c r="V31" s="35">
        <f t="shared" si="4"/>
        <v>1</v>
      </c>
      <c r="W31" s="40">
        <f t="shared" si="5"/>
        <v>0</v>
      </c>
      <c r="X31" s="4" t="str">
        <f t="shared" si="6"/>
        <v>OK</v>
      </c>
      <c r="Y31" s="30">
        <v>23.777799999999999</v>
      </c>
    </row>
    <row r="32" spans="1:25" x14ac:dyDescent="0.3">
      <c r="A32" s="36" t="s">
        <v>265</v>
      </c>
      <c r="B32" s="16" t="s">
        <v>165</v>
      </c>
      <c r="C32" s="4" t="s">
        <v>172</v>
      </c>
      <c r="D32" s="37">
        <v>0.72</v>
      </c>
      <c r="E32" s="31">
        <v>343</v>
      </c>
      <c r="F32" s="31">
        <v>30</v>
      </c>
      <c r="G32" s="30">
        <f t="shared" si="0"/>
        <v>11.433333333333334</v>
      </c>
      <c r="H32" s="30">
        <v>11.433299999999999</v>
      </c>
      <c r="I32" s="30">
        <v>10.2333</v>
      </c>
      <c r="J32" s="30">
        <v>11.433299999999999</v>
      </c>
      <c r="K32" s="38">
        <v>11.433299999999999</v>
      </c>
      <c r="L32" s="30">
        <v>4.8281999999999998</v>
      </c>
      <c r="M32" s="31">
        <v>200</v>
      </c>
      <c r="N32" s="31">
        <v>28.476299999999998</v>
      </c>
      <c r="O32" s="30">
        <f t="shared" si="1"/>
        <v>6.666666666666667</v>
      </c>
      <c r="P32" s="30">
        <v>7.0233999999999996</v>
      </c>
      <c r="Q32" s="30">
        <v>7.0233999999999996</v>
      </c>
      <c r="R32" s="39">
        <v>18.456700000000001</v>
      </c>
      <c r="S32" s="30">
        <v>5.7706</v>
      </c>
      <c r="T32" s="35">
        <f t="shared" si="2"/>
        <v>0</v>
      </c>
      <c r="U32" s="35">
        <f t="shared" si="3"/>
        <v>-2.9154518951246544E-6</v>
      </c>
      <c r="V32" s="35">
        <f t="shared" si="4"/>
        <v>1</v>
      </c>
      <c r="W32" s="40">
        <f t="shared" si="5"/>
        <v>0</v>
      </c>
      <c r="X32" s="4" t="str">
        <f t="shared" si="6"/>
        <v>OK</v>
      </c>
      <c r="Y32" s="30">
        <v>10.2333</v>
      </c>
    </row>
    <row r="33" spans="1:25" x14ac:dyDescent="0.3">
      <c r="A33" s="36" t="s">
        <v>268</v>
      </c>
      <c r="B33" s="16" t="s">
        <v>165</v>
      </c>
      <c r="C33" s="4" t="s">
        <v>172</v>
      </c>
      <c r="D33" s="37">
        <v>0.72</v>
      </c>
      <c r="E33" s="31">
        <v>425</v>
      </c>
      <c r="F33" s="31">
        <v>30</v>
      </c>
      <c r="G33" s="30">
        <f t="shared" si="0"/>
        <v>14.166666666666666</v>
      </c>
      <c r="H33" s="30">
        <v>14.166700000000001</v>
      </c>
      <c r="I33" s="30">
        <v>13.088900000000001</v>
      </c>
      <c r="J33" s="30">
        <v>14.166700000000001</v>
      </c>
      <c r="K33" s="38">
        <v>14.166700000000001</v>
      </c>
      <c r="L33" s="30">
        <v>5.6513</v>
      </c>
      <c r="M33" s="31">
        <v>100</v>
      </c>
      <c r="N33" s="31">
        <v>15.548400000000001</v>
      </c>
      <c r="O33" s="30">
        <f t="shared" si="1"/>
        <v>3.3333333333333335</v>
      </c>
      <c r="P33" s="30">
        <v>6.4314999999999998</v>
      </c>
      <c r="Q33" s="30">
        <v>6.4314999999999998</v>
      </c>
      <c r="R33" s="39">
        <v>20.598199999999999</v>
      </c>
      <c r="S33" s="30">
        <v>6.3493000000000004</v>
      </c>
      <c r="T33" s="35">
        <f t="shared" si="2"/>
        <v>0</v>
      </c>
      <c r="U33" s="35">
        <f t="shared" si="3"/>
        <v>2.3529411765643715E-6</v>
      </c>
      <c r="V33" s="35">
        <f t="shared" si="4"/>
        <v>1</v>
      </c>
      <c r="W33" s="40">
        <f t="shared" si="5"/>
        <v>0</v>
      </c>
      <c r="X33" s="4" t="str">
        <f t="shared" si="6"/>
        <v>OK</v>
      </c>
      <c r="Y33" s="30">
        <v>13.088900000000001</v>
      </c>
    </row>
    <row r="34" spans="1:25" x14ac:dyDescent="0.3">
      <c r="A34" s="36" t="s">
        <v>271</v>
      </c>
      <c r="B34" s="16" t="s">
        <v>165</v>
      </c>
      <c r="C34" s="4" t="s">
        <v>179</v>
      </c>
      <c r="D34" s="37">
        <v>0.72</v>
      </c>
      <c r="E34" s="31">
        <v>44</v>
      </c>
      <c r="F34" s="31">
        <v>30</v>
      </c>
      <c r="G34" s="30">
        <f t="shared" si="0"/>
        <v>1.4666666666666666</v>
      </c>
      <c r="H34" s="30">
        <v>1.4666999999999999</v>
      </c>
      <c r="I34" s="30">
        <v>1.5667</v>
      </c>
      <c r="J34" s="30">
        <v>1.4666999999999999</v>
      </c>
      <c r="K34" s="38">
        <v>1.4666999999999999</v>
      </c>
      <c r="L34" s="30">
        <v>0.99729999999999996</v>
      </c>
      <c r="M34" s="31">
        <v>22</v>
      </c>
      <c r="N34" s="31">
        <v>30</v>
      </c>
      <c r="O34" s="30">
        <f t="shared" si="1"/>
        <v>0.73333333333333328</v>
      </c>
      <c r="P34" s="30">
        <v>0.73329999999999995</v>
      </c>
      <c r="Q34" s="30">
        <v>0.73329999999999995</v>
      </c>
      <c r="R34" s="39">
        <v>2.2000000000000002</v>
      </c>
      <c r="S34" s="30">
        <v>1.115</v>
      </c>
      <c r="T34" s="35">
        <f t="shared" si="2"/>
        <v>0</v>
      </c>
      <c r="U34" s="35">
        <f t="shared" si="3"/>
        <v>2.2727272727340875E-5</v>
      </c>
      <c r="V34" s="35">
        <f t="shared" si="4"/>
        <v>1</v>
      </c>
      <c r="W34" s="40">
        <f t="shared" si="5"/>
        <v>0</v>
      </c>
      <c r="X34" s="4" t="str">
        <f t="shared" si="6"/>
        <v>OK</v>
      </c>
      <c r="Y34" s="30">
        <v>1.5667</v>
      </c>
    </row>
    <row r="35" spans="1:25" x14ac:dyDescent="0.3">
      <c r="A35" s="36" t="s">
        <v>274</v>
      </c>
      <c r="B35" s="16" t="s">
        <v>165</v>
      </c>
      <c r="C35" s="4" t="s">
        <v>172</v>
      </c>
      <c r="D35" s="37">
        <v>0.72</v>
      </c>
      <c r="E35" s="31">
        <v>244</v>
      </c>
      <c r="F35" s="31">
        <v>20</v>
      </c>
      <c r="G35" s="30">
        <f t="shared" si="0"/>
        <v>8.1333333333333329</v>
      </c>
      <c r="H35" s="30">
        <v>12.2</v>
      </c>
      <c r="I35" s="30">
        <v>11.413399999999999</v>
      </c>
      <c r="J35" s="30">
        <v>9.1373999999999995</v>
      </c>
      <c r="K35" s="38">
        <v>12.2</v>
      </c>
      <c r="L35" s="30">
        <v>5.49</v>
      </c>
      <c r="M35" s="31">
        <v>60</v>
      </c>
      <c r="N35" s="31">
        <v>8.5955999999999992</v>
      </c>
      <c r="O35" s="30">
        <f t="shared" si="1"/>
        <v>2</v>
      </c>
      <c r="P35" s="30">
        <v>6.9802999999999997</v>
      </c>
      <c r="Q35" s="30">
        <v>6.9802999999999997</v>
      </c>
      <c r="R35" s="39">
        <v>19.180299999999999</v>
      </c>
      <c r="S35" s="30">
        <v>6.3250999999999999</v>
      </c>
      <c r="T35" s="35">
        <f t="shared" si="2"/>
        <v>0.33333333333333331</v>
      </c>
      <c r="U35" s="35">
        <f t="shared" si="3"/>
        <v>0.5</v>
      </c>
      <c r="V35" s="35">
        <f t="shared" si="4"/>
        <v>0.66666666666666663</v>
      </c>
      <c r="W35" s="40">
        <f t="shared" si="5"/>
        <v>10</v>
      </c>
      <c r="X35" s="4" t="str">
        <f t="shared" si="6"/>
        <v>OK</v>
      </c>
      <c r="Y35" s="30">
        <v>11.413399999999999</v>
      </c>
    </row>
    <row r="36" spans="1:25" x14ac:dyDescent="0.3">
      <c r="A36" s="36" t="s">
        <v>277</v>
      </c>
      <c r="B36" s="16" t="s">
        <v>165</v>
      </c>
      <c r="C36" s="4" t="s">
        <v>188</v>
      </c>
      <c r="D36" s="37">
        <v>0.72</v>
      </c>
      <c r="E36" s="31">
        <v>0</v>
      </c>
      <c r="F36" s="31">
        <v>0</v>
      </c>
      <c r="G36" s="30">
        <f t="shared" si="0"/>
        <v>0</v>
      </c>
      <c r="H36" s="30">
        <v>0</v>
      </c>
      <c r="I36" s="30">
        <v>0</v>
      </c>
      <c r="J36" s="30">
        <v>4.5549999999999997</v>
      </c>
      <c r="K36" s="38">
        <v>0.74039999999999995</v>
      </c>
      <c r="L36" s="30">
        <v>0.48130000000000001</v>
      </c>
      <c r="M36" s="31">
        <v>9</v>
      </c>
      <c r="N36" s="31">
        <v>30</v>
      </c>
      <c r="O36" s="30">
        <f t="shared" si="1"/>
        <v>0.3</v>
      </c>
      <c r="P36" s="30">
        <v>0.3</v>
      </c>
      <c r="Q36" s="30">
        <v>0.3</v>
      </c>
      <c r="R36" s="39">
        <v>1.0404</v>
      </c>
      <c r="S36" s="30">
        <v>0.629</v>
      </c>
      <c r="T36" s="35">
        <f t="shared" si="2"/>
        <v>1</v>
      </c>
      <c r="U36" s="35">
        <f t="shared" si="3"/>
        <v>0</v>
      </c>
      <c r="V36" s="35">
        <f t="shared" si="4"/>
        <v>0</v>
      </c>
      <c r="W36" s="40">
        <f t="shared" si="5"/>
        <v>30</v>
      </c>
      <c r="X36" s="4" t="str">
        <f t="shared" si="6"/>
        <v>CENSORED - REVIEW ACTIVE DAY</v>
      </c>
      <c r="Y36" s="30">
        <v>0.74039999999999995</v>
      </c>
    </row>
    <row r="37" spans="1:25" x14ac:dyDescent="0.3">
      <c r="A37" s="36" t="s">
        <v>280</v>
      </c>
      <c r="B37" s="16" t="s">
        <v>165</v>
      </c>
      <c r="C37" s="4" t="s">
        <v>184</v>
      </c>
      <c r="D37" s="37">
        <v>0.72</v>
      </c>
      <c r="E37" s="31">
        <v>35</v>
      </c>
      <c r="F37" s="31">
        <v>19.373799999999999</v>
      </c>
      <c r="G37" s="30">
        <f t="shared" ref="G37:G68" si="7">E37/30</f>
        <v>1.1666666666666667</v>
      </c>
      <c r="H37" s="30">
        <v>1.8066</v>
      </c>
      <c r="I37" s="30">
        <v>2.1543999999999999</v>
      </c>
      <c r="J37" s="30">
        <v>7.0209000000000001</v>
      </c>
      <c r="K37" s="38">
        <v>1.8066</v>
      </c>
      <c r="L37" s="30">
        <v>0.90329999999999999</v>
      </c>
      <c r="M37" s="31">
        <v>38</v>
      </c>
      <c r="N37" s="31">
        <v>30</v>
      </c>
      <c r="O37" s="30">
        <f t="shared" ref="O37:O68" si="8">M37/30</f>
        <v>1.2666666666666666</v>
      </c>
      <c r="P37" s="30">
        <v>1.2666999999999999</v>
      </c>
      <c r="Q37" s="30">
        <v>1.2666999999999999</v>
      </c>
      <c r="R37" s="39">
        <v>3.0733000000000001</v>
      </c>
      <c r="S37" s="30">
        <v>1.1032</v>
      </c>
      <c r="T37" s="35">
        <f t="shared" ref="T37:T68" si="9">MAX(0,(30-F37)/30)</f>
        <v>0.35420666666666667</v>
      </c>
      <c r="U37" s="35">
        <f t="shared" ref="U37:U68" si="10">IF(G37&gt;0,K37/G37-1,0)</f>
        <v>0.54851428571428551</v>
      </c>
      <c r="V37" s="35">
        <f t="shared" ref="V37:V68" si="11">F37/30</f>
        <v>0.64579333333333333</v>
      </c>
      <c r="W37" s="40">
        <f t="shared" ref="W37:W68" si="12">MAX(0,30-F37)</f>
        <v>10.626200000000001</v>
      </c>
      <c r="X37" s="4" t="str">
        <f t="shared" ref="X37:X68" si="13">IF(F37&lt;20,"CENSORED - REVIEW ACTIVE DAY","OK")</f>
        <v>CENSORED - REVIEW ACTIVE DAY</v>
      </c>
      <c r="Y37" s="30">
        <v>2.1543999999999999</v>
      </c>
    </row>
    <row r="38" spans="1:25" x14ac:dyDescent="0.3">
      <c r="A38" s="36" t="s">
        <v>283</v>
      </c>
      <c r="B38" s="16" t="s">
        <v>165</v>
      </c>
      <c r="C38" s="4" t="s">
        <v>188</v>
      </c>
      <c r="D38" s="37">
        <v>0.72</v>
      </c>
      <c r="E38" s="31">
        <v>0</v>
      </c>
      <c r="F38" s="31">
        <v>0</v>
      </c>
      <c r="G38" s="30">
        <f t="shared" si="7"/>
        <v>0</v>
      </c>
      <c r="H38" s="30">
        <v>0</v>
      </c>
      <c r="I38" s="30">
        <v>0</v>
      </c>
      <c r="J38" s="30">
        <v>3.3127</v>
      </c>
      <c r="K38" s="38">
        <v>0.70240000000000002</v>
      </c>
      <c r="L38" s="30">
        <v>0.45660000000000001</v>
      </c>
      <c r="M38" s="31">
        <v>5</v>
      </c>
      <c r="N38" s="31">
        <v>30</v>
      </c>
      <c r="O38" s="30">
        <f t="shared" si="8"/>
        <v>0.16666666666666666</v>
      </c>
      <c r="P38" s="30">
        <v>0.16669999999999999</v>
      </c>
      <c r="Q38" s="30">
        <v>0.16669999999999999</v>
      </c>
      <c r="R38" s="39">
        <v>0.86909999999999998</v>
      </c>
      <c r="S38" s="30">
        <v>0.50900000000000001</v>
      </c>
      <c r="T38" s="35">
        <f t="shared" si="9"/>
        <v>1</v>
      </c>
      <c r="U38" s="35">
        <f t="shared" si="10"/>
        <v>0</v>
      </c>
      <c r="V38" s="35">
        <f t="shared" si="11"/>
        <v>0</v>
      </c>
      <c r="W38" s="40">
        <f t="shared" si="12"/>
        <v>30</v>
      </c>
      <c r="X38" s="4" t="str">
        <f t="shared" si="13"/>
        <v>CENSORED - REVIEW ACTIVE DAY</v>
      </c>
      <c r="Y38" s="30">
        <v>0.70240000000000002</v>
      </c>
    </row>
    <row r="39" spans="1:25" x14ac:dyDescent="0.3">
      <c r="A39" s="36" t="s">
        <v>286</v>
      </c>
      <c r="B39" s="16" t="s">
        <v>165</v>
      </c>
      <c r="C39" s="4" t="s">
        <v>188</v>
      </c>
      <c r="D39" s="37">
        <v>0.72</v>
      </c>
      <c r="E39" s="31">
        <v>2</v>
      </c>
      <c r="F39" s="31">
        <v>1.73</v>
      </c>
      <c r="G39" s="30">
        <f t="shared" si="7"/>
        <v>6.6666666666666666E-2</v>
      </c>
      <c r="H39" s="30">
        <v>1.1560999999999999</v>
      </c>
      <c r="I39" s="30">
        <v>0.63180000000000003</v>
      </c>
      <c r="J39" s="30">
        <v>4.4067999999999996</v>
      </c>
      <c r="K39" s="38">
        <v>1.1560999999999999</v>
      </c>
      <c r="L39" s="30">
        <v>1.2988999999999999</v>
      </c>
      <c r="M39" s="31">
        <v>7</v>
      </c>
      <c r="N39" s="31">
        <v>30</v>
      </c>
      <c r="O39" s="30">
        <f t="shared" si="8"/>
        <v>0.23333333333333334</v>
      </c>
      <c r="P39" s="30">
        <v>0.23330000000000001</v>
      </c>
      <c r="Q39" s="30">
        <v>0.23330000000000001</v>
      </c>
      <c r="R39" s="39">
        <v>1.3894</v>
      </c>
      <c r="S39" s="30">
        <v>1.3366</v>
      </c>
      <c r="T39" s="35">
        <f t="shared" si="9"/>
        <v>0.94233333333333336</v>
      </c>
      <c r="U39" s="35">
        <f t="shared" si="10"/>
        <v>16.3415</v>
      </c>
      <c r="V39" s="35">
        <f t="shared" si="11"/>
        <v>5.7666666666666665E-2</v>
      </c>
      <c r="W39" s="40">
        <f t="shared" si="12"/>
        <v>28.27</v>
      </c>
      <c r="X39" s="4" t="str">
        <f t="shared" si="13"/>
        <v>CENSORED - REVIEW ACTIVE DAY</v>
      </c>
      <c r="Y39" s="30">
        <v>0.63180000000000003</v>
      </c>
    </row>
    <row r="40" spans="1:25" x14ac:dyDescent="0.3">
      <c r="A40" s="36" t="s">
        <v>289</v>
      </c>
      <c r="B40" s="16" t="s">
        <v>165</v>
      </c>
      <c r="C40" s="4" t="s">
        <v>188</v>
      </c>
      <c r="D40" s="37">
        <v>0.72</v>
      </c>
      <c r="E40" s="31">
        <v>0</v>
      </c>
      <c r="F40" s="31">
        <v>0</v>
      </c>
      <c r="G40" s="30">
        <f t="shared" si="7"/>
        <v>0</v>
      </c>
      <c r="H40" s="30">
        <v>0</v>
      </c>
      <c r="I40" s="30">
        <v>0</v>
      </c>
      <c r="J40" s="30">
        <v>2.0703999999999998</v>
      </c>
      <c r="K40" s="38">
        <v>0.49230000000000002</v>
      </c>
      <c r="L40" s="30">
        <v>0.32</v>
      </c>
      <c r="M40" s="31">
        <v>0</v>
      </c>
      <c r="N40" s="31">
        <v>30</v>
      </c>
      <c r="O40" s="30">
        <f t="shared" si="8"/>
        <v>0</v>
      </c>
      <c r="P40" s="30">
        <v>0</v>
      </c>
      <c r="Q40" s="30">
        <v>0</v>
      </c>
      <c r="R40" s="39">
        <v>0.49230000000000002</v>
      </c>
      <c r="S40" s="30">
        <v>0.32</v>
      </c>
      <c r="T40" s="35">
        <f t="shared" si="9"/>
        <v>1</v>
      </c>
      <c r="U40" s="35">
        <f t="shared" si="10"/>
        <v>0</v>
      </c>
      <c r="V40" s="35">
        <f t="shared" si="11"/>
        <v>0</v>
      </c>
      <c r="W40" s="40">
        <f t="shared" si="12"/>
        <v>30</v>
      </c>
      <c r="X40" s="4" t="str">
        <f t="shared" si="13"/>
        <v>CENSORED - REVIEW ACTIVE DAY</v>
      </c>
      <c r="Y40" s="30">
        <v>0.49230000000000002</v>
      </c>
    </row>
    <row r="41" spans="1:25" x14ac:dyDescent="0.3">
      <c r="A41" s="36" t="s">
        <v>292</v>
      </c>
      <c r="B41" s="16" t="s">
        <v>293</v>
      </c>
      <c r="C41" s="4" t="s">
        <v>172</v>
      </c>
      <c r="D41" s="37">
        <v>0.7</v>
      </c>
      <c r="E41" s="31">
        <v>333</v>
      </c>
      <c r="F41" s="31">
        <v>30</v>
      </c>
      <c r="G41" s="30">
        <f t="shared" si="7"/>
        <v>11.1</v>
      </c>
      <c r="H41" s="30">
        <v>11.1</v>
      </c>
      <c r="I41" s="30">
        <v>11.0778</v>
      </c>
      <c r="J41" s="30">
        <v>11.1</v>
      </c>
      <c r="K41" s="38">
        <v>11.1</v>
      </c>
      <c r="L41" s="30">
        <v>4.8448000000000002</v>
      </c>
      <c r="M41" s="31">
        <v>57</v>
      </c>
      <c r="N41" s="31">
        <v>10.1349</v>
      </c>
      <c r="O41" s="30">
        <f t="shared" si="8"/>
        <v>1.9</v>
      </c>
      <c r="P41" s="30">
        <v>5.6241000000000003</v>
      </c>
      <c r="Q41" s="30">
        <v>5.6241000000000003</v>
      </c>
      <c r="R41" s="39">
        <v>16.7241</v>
      </c>
      <c r="S41" s="30">
        <v>5.4660000000000002</v>
      </c>
      <c r="T41" s="35">
        <f t="shared" si="9"/>
        <v>0</v>
      </c>
      <c r="U41" s="35">
        <f t="shared" si="10"/>
        <v>0</v>
      </c>
      <c r="V41" s="35">
        <f t="shared" si="11"/>
        <v>1</v>
      </c>
      <c r="W41" s="40">
        <f t="shared" si="12"/>
        <v>0</v>
      </c>
      <c r="X41" s="4" t="str">
        <f t="shared" si="13"/>
        <v>OK</v>
      </c>
      <c r="Y41" s="30">
        <v>11.0778</v>
      </c>
    </row>
    <row r="42" spans="1:25" x14ac:dyDescent="0.3">
      <c r="A42" s="36" t="s">
        <v>298</v>
      </c>
      <c r="B42" s="16" t="s">
        <v>293</v>
      </c>
      <c r="C42" s="4" t="s">
        <v>188</v>
      </c>
      <c r="D42" s="37">
        <v>0.7</v>
      </c>
      <c r="E42" s="31">
        <v>0</v>
      </c>
      <c r="F42" s="31">
        <v>0</v>
      </c>
      <c r="G42" s="30">
        <f t="shared" si="7"/>
        <v>0</v>
      </c>
      <c r="H42" s="30">
        <v>0</v>
      </c>
      <c r="I42" s="30">
        <v>0</v>
      </c>
      <c r="J42" s="30">
        <v>4.5583999999999998</v>
      </c>
      <c r="K42" s="38">
        <v>0.81140000000000001</v>
      </c>
      <c r="L42" s="30">
        <v>0.52739999999999998</v>
      </c>
      <c r="M42" s="31">
        <v>12</v>
      </c>
      <c r="N42" s="31">
        <v>30</v>
      </c>
      <c r="O42" s="30">
        <f t="shared" si="8"/>
        <v>0.4</v>
      </c>
      <c r="P42" s="30">
        <v>0.4</v>
      </c>
      <c r="Q42" s="30">
        <v>0.4</v>
      </c>
      <c r="R42" s="39">
        <v>1.2114</v>
      </c>
      <c r="S42" s="30">
        <v>0.75480000000000003</v>
      </c>
      <c r="T42" s="35">
        <f t="shared" si="9"/>
        <v>1</v>
      </c>
      <c r="U42" s="35">
        <f t="shared" si="10"/>
        <v>0</v>
      </c>
      <c r="V42" s="35">
        <f t="shared" si="11"/>
        <v>0</v>
      </c>
      <c r="W42" s="40">
        <f t="shared" si="12"/>
        <v>30</v>
      </c>
      <c r="X42" s="4" t="str">
        <f t="shared" si="13"/>
        <v>CENSORED - REVIEW ACTIVE DAY</v>
      </c>
      <c r="Y42" s="30">
        <v>0.81140000000000001</v>
      </c>
    </row>
    <row r="43" spans="1:25" x14ac:dyDescent="0.3">
      <c r="A43" s="36" t="s">
        <v>301</v>
      </c>
      <c r="B43" s="16" t="s">
        <v>293</v>
      </c>
      <c r="C43" s="4" t="s">
        <v>179</v>
      </c>
      <c r="D43" s="37">
        <v>0.7</v>
      </c>
      <c r="E43" s="31">
        <v>51</v>
      </c>
      <c r="F43" s="31">
        <v>28.422999999999998</v>
      </c>
      <c r="G43" s="30">
        <f t="shared" si="7"/>
        <v>1.7</v>
      </c>
      <c r="H43" s="30">
        <v>1.7943</v>
      </c>
      <c r="I43" s="30">
        <v>1.7528999999999999</v>
      </c>
      <c r="J43" s="30">
        <v>6.1692999999999998</v>
      </c>
      <c r="K43" s="38">
        <v>1.7943</v>
      </c>
      <c r="L43" s="30">
        <v>1.2201</v>
      </c>
      <c r="M43" s="31">
        <v>29</v>
      </c>
      <c r="N43" s="31">
        <v>30</v>
      </c>
      <c r="O43" s="30">
        <f t="shared" si="8"/>
        <v>0.96666666666666667</v>
      </c>
      <c r="P43" s="30">
        <v>0.9667</v>
      </c>
      <c r="Q43" s="30">
        <v>0.9667</v>
      </c>
      <c r="R43" s="39">
        <v>2.7610000000000001</v>
      </c>
      <c r="S43" s="30">
        <v>1.3858999999999999</v>
      </c>
      <c r="T43" s="35">
        <f t="shared" si="9"/>
        <v>5.2566666666666727E-2</v>
      </c>
      <c r="U43" s="35">
        <f t="shared" si="10"/>
        <v>5.547058823529416E-2</v>
      </c>
      <c r="V43" s="35">
        <f t="shared" si="11"/>
        <v>0.94743333333333324</v>
      </c>
      <c r="W43" s="40">
        <f t="shared" si="12"/>
        <v>1.5770000000000017</v>
      </c>
      <c r="X43" s="4" t="str">
        <f t="shared" si="13"/>
        <v>OK</v>
      </c>
      <c r="Y43" s="30">
        <v>1.7528999999999999</v>
      </c>
    </row>
    <row r="44" spans="1:25" x14ac:dyDescent="0.3">
      <c r="A44" s="36" t="s">
        <v>304</v>
      </c>
      <c r="B44" s="16" t="s">
        <v>293</v>
      </c>
      <c r="C44" s="4" t="s">
        <v>188</v>
      </c>
      <c r="D44" s="37">
        <v>0.7</v>
      </c>
      <c r="E44" s="31">
        <v>0</v>
      </c>
      <c r="F44" s="31">
        <v>0</v>
      </c>
      <c r="G44" s="30">
        <f t="shared" si="7"/>
        <v>0</v>
      </c>
      <c r="H44" s="30">
        <v>0</v>
      </c>
      <c r="I44" s="30">
        <v>0</v>
      </c>
      <c r="J44" s="30">
        <v>2.879</v>
      </c>
      <c r="K44" s="38">
        <v>0.59519999999999995</v>
      </c>
      <c r="L44" s="30">
        <v>0.38690000000000002</v>
      </c>
      <c r="M44" s="31">
        <v>10</v>
      </c>
      <c r="N44" s="31">
        <v>30</v>
      </c>
      <c r="O44" s="30">
        <f t="shared" si="8"/>
        <v>0.33333333333333331</v>
      </c>
      <c r="P44" s="30">
        <v>0.33329999999999999</v>
      </c>
      <c r="Q44" s="30">
        <v>0.33329999999999999</v>
      </c>
      <c r="R44" s="39">
        <v>0.92849999999999999</v>
      </c>
      <c r="S44" s="30">
        <v>0.59350000000000003</v>
      </c>
      <c r="T44" s="35">
        <f t="shared" si="9"/>
        <v>1</v>
      </c>
      <c r="U44" s="35">
        <f t="shared" si="10"/>
        <v>0</v>
      </c>
      <c r="V44" s="35">
        <f t="shared" si="11"/>
        <v>0</v>
      </c>
      <c r="W44" s="40">
        <f t="shared" si="12"/>
        <v>30</v>
      </c>
      <c r="X44" s="4" t="str">
        <f t="shared" si="13"/>
        <v>CENSORED - REVIEW ACTIVE DAY</v>
      </c>
      <c r="Y44" s="30">
        <v>0.59519999999999995</v>
      </c>
    </row>
    <row r="45" spans="1:25" x14ac:dyDescent="0.3">
      <c r="A45" s="36" t="s">
        <v>307</v>
      </c>
      <c r="B45" s="16" t="s">
        <v>293</v>
      </c>
      <c r="C45" s="4" t="s">
        <v>188</v>
      </c>
      <c r="D45" s="37">
        <v>0.7</v>
      </c>
      <c r="E45" s="31">
        <v>0</v>
      </c>
      <c r="F45" s="31">
        <v>0</v>
      </c>
      <c r="G45" s="30">
        <f t="shared" si="7"/>
        <v>0</v>
      </c>
      <c r="H45" s="30">
        <v>0</v>
      </c>
      <c r="I45" s="30">
        <v>0</v>
      </c>
      <c r="J45" s="30">
        <v>3.5687000000000002</v>
      </c>
      <c r="K45" s="38">
        <v>0.75049999999999994</v>
      </c>
      <c r="L45" s="30">
        <v>0.48780000000000001</v>
      </c>
      <c r="M45" s="31">
        <v>7</v>
      </c>
      <c r="N45" s="31">
        <v>30</v>
      </c>
      <c r="O45" s="30">
        <f t="shared" si="8"/>
        <v>0.23333333333333334</v>
      </c>
      <c r="P45" s="30">
        <v>0.23330000000000001</v>
      </c>
      <c r="Q45" s="30">
        <v>0.23330000000000001</v>
      </c>
      <c r="R45" s="39">
        <v>0.98380000000000001</v>
      </c>
      <c r="S45" s="30">
        <v>0.58069999999999999</v>
      </c>
      <c r="T45" s="35">
        <f t="shared" si="9"/>
        <v>1</v>
      </c>
      <c r="U45" s="35">
        <f t="shared" si="10"/>
        <v>0</v>
      </c>
      <c r="V45" s="35">
        <f t="shared" si="11"/>
        <v>0</v>
      </c>
      <c r="W45" s="40">
        <f t="shared" si="12"/>
        <v>30</v>
      </c>
      <c r="X45" s="4" t="str">
        <f t="shared" si="13"/>
        <v>CENSORED - REVIEW ACTIVE DAY</v>
      </c>
      <c r="Y45" s="30">
        <v>0.75049999999999994</v>
      </c>
    </row>
    <row r="46" spans="1:25" x14ac:dyDescent="0.3">
      <c r="A46" s="36" t="s">
        <v>310</v>
      </c>
      <c r="B46" s="16" t="s">
        <v>293</v>
      </c>
      <c r="C46" s="4" t="s">
        <v>188</v>
      </c>
      <c r="D46" s="37">
        <v>0.7</v>
      </c>
      <c r="E46" s="31">
        <v>0</v>
      </c>
      <c r="F46" s="31">
        <v>0</v>
      </c>
      <c r="G46" s="30">
        <f t="shared" si="7"/>
        <v>0</v>
      </c>
      <c r="H46" s="30">
        <v>0</v>
      </c>
      <c r="I46" s="30">
        <v>0</v>
      </c>
      <c r="J46" s="30">
        <v>1.6794</v>
      </c>
      <c r="K46" s="38">
        <v>0.4904</v>
      </c>
      <c r="L46" s="30">
        <v>0.31869999999999998</v>
      </c>
      <c r="M46" s="31">
        <v>4</v>
      </c>
      <c r="N46" s="31">
        <v>30</v>
      </c>
      <c r="O46" s="30">
        <f t="shared" si="8"/>
        <v>0.13333333333333333</v>
      </c>
      <c r="P46" s="30">
        <v>0.1333</v>
      </c>
      <c r="Q46" s="30">
        <v>0.1333</v>
      </c>
      <c r="R46" s="39">
        <v>0.62370000000000003</v>
      </c>
      <c r="S46" s="30">
        <v>0.36599999999999999</v>
      </c>
      <c r="T46" s="35">
        <f t="shared" si="9"/>
        <v>1</v>
      </c>
      <c r="U46" s="35">
        <f t="shared" si="10"/>
        <v>0</v>
      </c>
      <c r="V46" s="35">
        <f t="shared" si="11"/>
        <v>0</v>
      </c>
      <c r="W46" s="40">
        <f t="shared" si="12"/>
        <v>30</v>
      </c>
      <c r="X46" s="4" t="str">
        <f t="shared" si="13"/>
        <v>CENSORED - REVIEW ACTIVE DAY</v>
      </c>
      <c r="Y46" s="30">
        <v>0.4904</v>
      </c>
    </row>
    <row r="47" spans="1:25" x14ac:dyDescent="0.3">
      <c r="A47" s="36" t="s">
        <v>313</v>
      </c>
      <c r="B47" s="16" t="s">
        <v>293</v>
      </c>
      <c r="C47" s="4" t="s">
        <v>188</v>
      </c>
      <c r="D47" s="37">
        <v>0.7</v>
      </c>
      <c r="E47" s="31">
        <v>0</v>
      </c>
      <c r="F47" s="31">
        <v>0</v>
      </c>
      <c r="G47" s="30">
        <f t="shared" si="7"/>
        <v>0</v>
      </c>
      <c r="H47" s="30">
        <v>0</v>
      </c>
      <c r="I47" s="30">
        <v>0</v>
      </c>
      <c r="J47" s="30">
        <v>2.8039999999999998</v>
      </c>
      <c r="K47" s="38">
        <v>0.63839999999999997</v>
      </c>
      <c r="L47" s="30">
        <v>0.41499999999999998</v>
      </c>
      <c r="M47" s="31">
        <v>7</v>
      </c>
      <c r="N47" s="31">
        <v>30</v>
      </c>
      <c r="O47" s="30">
        <f t="shared" si="8"/>
        <v>0.23333333333333334</v>
      </c>
      <c r="P47" s="30">
        <v>0.23330000000000001</v>
      </c>
      <c r="Q47" s="30">
        <v>0.23330000000000001</v>
      </c>
      <c r="R47" s="39">
        <v>0.87170000000000003</v>
      </c>
      <c r="S47" s="30">
        <v>0.52100000000000002</v>
      </c>
      <c r="T47" s="35">
        <f t="shared" si="9"/>
        <v>1</v>
      </c>
      <c r="U47" s="35">
        <f t="shared" si="10"/>
        <v>0</v>
      </c>
      <c r="V47" s="35">
        <f t="shared" si="11"/>
        <v>0</v>
      </c>
      <c r="W47" s="40">
        <f t="shared" si="12"/>
        <v>30</v>
      </c>
      <c r="X47" s="4" t="str">
        <f t="shared" si="13"/>
        <v>CENSORED - REVIEW ACTIVE DAY</v>
      </c>
      <c r="Y47" s="30">
        <v>0.63839999999999997</v>
      </c>
    </row>
    <row r="48" spans="1:25" x14ac:dyDescent="0.3">
      <c r="A48" s="36" t="s">
        <v>316</v>
      </c>
      <c r="B48" s="16" t="s">
        <v>293</v>
      </c>
      <c r="C48" s="4" t="s">
        <v>188</v>
      </c>
      <c r="D48" s="37">
        <v>0.7</v>
      </c>
      <c r="E48" s="31">
        <v>0</v>
      </c>
      <c r="F48" s="31">
        <v>0</v>
      </c>
      <c r="G48" s="30">
        <f t="shared" si="7"/>
        <v>0</v>
      </c>
      <c r="H48" s="30">
        <v>0</v>
      </c>
      <c r="I48" s="30">
        <v>0</v>
      </c>
      <c r="J48" s="30">
        <v>1.3194999999999999</v>
      </c>
      <c r="K48" s="38">
        <v>0.26129999999999998</v>
      </c>
      <c r="L48" s="30">
        <v>0.1699</v>
      </c>
      <c r="M48" s="31">
        <v>5</v>
      </c>
      <c r="N48" s="31">
        <v>30</v>
      </c>
      <c r="O48" s="30">
        <f t="shared" si="8"/>
        <v>0.16666666666666666</v>
      </c>
      <c r="P48" s="30">
        <v>0.16669999999999999</v>
      </c>
      <c r="Q48" s="30">
        <v>0.16669999999999999</v>
      </c>
      <c r="R48" s="39">
        <v>0.42799999999999999</v>
      </c>
      <c r="S48" s="30">
        <v>0.28189999999999998</v>
      </c>
      <c r="T48" s="35">
        <f t="shared" si="9"/>
        <v>1</v>
      </c>
      <c r="U48" s="35">
        <f t="shared" si="10"/>
        <v>0</v>
      </c>
      <c r="V48" s="35">
        <f t="shared" si="11"/>
        <v>0</v>
      </c>
      <c r="W48" s="40">
        <f t="shared" si="12"/>
        <v>30</v>
      </c>
      <c r="X48" s="4" t="str">
        <f t="shared" si="13"/>
        <v>CENSORED - REVIEW ACTIVE DAY</v>
      </c>
      <c r="Y48" s="30">
        <v>0.26129999999999998</v>
      </c>
    </row>
    <row r="49" spans="1:25" x14ac:dyDescent="0.3">
      <c r="A49" s="36" t="s">
        <v>319</v>
      </c>
      <c r="B49" s="16" t="s">
        <v>293</v>
      </c>
      <c r="C49" s="4" t="s">
        <v>188</v>
      </c>
      <c r="D49" s="37">
        <v>0.7</v>
      </c>
      <c r="E49" s="31">
        <v>0</v>
      </c>
      <c r="F49" s="31">
        <v>0</v>
      </c>
      <c r="G49" s="30">
        <f t="shared" si="7"/>
        <v>0</v>
      </c>
      <c r="H49" s="30">
        <v>0</v>
      </c>
      <c r="I49" s="30">
        <v>0</v>
      </c>
      <c r="J49" s="30">
        <v>2.0392999999999999</v>
      </c>
      <c r="K49" s="38">
        <v>0.48099999999999998</v>
      </c>
      <c r="L49" s="30">
        <v>0.31269999999999998</v>
      </c>
      <c r="M49" s="31">
        <v>4</v>
      </c>
      <c r="N49" s="31">
        <v>30</v>
      </c>
      <c r="O49" s="30">
        <f t="shared" si="8"/>
        <v>0.13333333333333333</v>
      </c>
      <c r="P49" s="30">
        <v>0.1333</v>
      </c>
      <c r="Q49" s="30">
        <v>0.1333</v>
      </c>
      <c r="R49" s="39">
        <v>0.61429999999999996</v>
      </c>
      <c r="S49" s="30">
        <v>0.36080000000000001</v>
      </c>
      <c r="T49" s="35">
        <f t="shared" si="9"/>
        <v>1</v>
      </c>
      <c r="U49" s="35">
        <f t="shared" si="10"/>
        <v>0</v>
      </c>
      <c r="V49" s="35">
        <f t="shared" si="11"/>
        <v>0</v>
      </c>
      <c r="W49" s="40">
        <f t="shared" si="12"/>
        <v>30</v>
      </c>
      <c r="X49" s="4" t="str">
        <f t="shared" si="13"/>
        <v>CENSORED - REVIEW ACTIVE DAY</v>
      </c>
      <c r="Y49" s="30">
        <v>0.48099999999999998</v>
      </c>
    </row>
    <row r="50" spans="1:25" x14ac:dyDescent="0.3">
      <c r="A50" s="36" t="s">
        <v>322</v>
      </c>
      <c r="B50" s="16" t="s">
        <v>293</v>
      </c>
      <c r="C50" s="4" t="s">
        <v>188</v>
      </c>
      <c r="D50" s="37">
        <v>0.7</v>
      </c>
      <c r="E50" s="31">
        <v>0</v>
      </c>
      <c r="F50" s="31">
        <v>0</v>
      </c>
      <c r="G50" s="30">
        <f t="shared" si="7"/>
        <v>0</v>
      </c>
      <c r="H50" s="30">
        <v>0</v>
      </c>
      <c r="I50" s="30">
        <v>0</v>
      </c>
      <c r="J50" s="30">
        <v>0.9597</v>
      </c>
      <c r="K50" s="38">
        <v>0.19689999999999999</v>
      </c>
      <c r="L50" s="30">
        <v>0.128</v>
      </c>
      <c r="M50" s="31">
        <v>1</v>
      </c>
      <c r="N50" s="31">
        <v>30</v>
      </c>
      <c r="O50" s="30">
        <f t="shared" si="8"/>
        <v>3.3333333333333333E-2</v>
      </c>
      <c r="P50" s="30">
        <v>3.3300000000000003E-2</v>
      </c>
      <c r="Q50" s="30">
        <v>3.3300000000000003E-2</v>
      </c>
      <c r="R50" s="39">
        <v>0.23019999999999999</v>
      </c>
      <c r="S50" s="30">
        <v>0.13569999999999999</v>
      </c>
      <c r="T50" s="35">
        <f t="shared" si="9"/>
        <v>1</v>
      </c>
      <c r="U50" s="35">
        <f t="shared" si="10"/>
        <v>0</v>
      </c>
      <c r="V50" s="35">
        <f t="shared" si="11"/>
        <v>0</v>
      </c>
      <c r="W50" s="40">
        <f t="shared" si="12"/>
        <v>30</v>
      </c>
      <c r="X50" s="4" t="str">
        <f t="shared" si="13"/>
        <v>CENSORED - REVIEW ACTIVE DAY</v>
      </c>
      <c r="Y50" s="30">
        <v>0.19689999999999999</v>
      </c>
    </row>
    <row r="51" spans="1:25" x14ac:dyDescent="0.3">
      <c r="A51" s="36" t="s">
        <v>325</v>
      </c>
      <c r="B51" s="16" t="s">
        <v>293</v>
      </c>
      <c r="C51" s="4" t="s">
        <v>188</v>
      </c>
      <c r="D51" s="37">
        <v>0.7</v>
      </c>
      <c r="E51" s="31">
        <v>5</v>
      </c>
      <c r="F51" s="31">
        <v>30</v>
      </c>
      <c r="G51" s="30">
        <f t="shared" si="7"/>
        <v>0.16666666666666666</v>
      </c>
      <c r="H51" s="30">
        <v>0.16669999999999999</v>
      </c>
      <c r="I51" s="30">
        <v>0.21110000000000001</v>
      </c>
      <c r="J51" s="30">
        <v>0.16669999999999999</v>
      </c>
      <c r="K51" s="38">
        <v>0.16669999999999999</v>
      </c>
      <c r="L51" s="30">
        <v>0.22500000000000001</v>
      </c>
      <c r="M51" s="31">
        <v>3</v>
      </c>
      <c r="N51" s="31">
        <v>30</v>
      </c>
      <c r="O51" s="30">
        <f t="shared" si="8"/>
        <v>0.1</v>
      </c>
      <c r="P51" s="30">
        <v>0.1</v>
      </c>
      <c r="Q51" s="30">
        <v>0.1</v>
      </c>
      <c r="R51" s="39">
        <v>0.26669999999999999</v>
      </c>
      <c r="S51" s="30">
        <v>0.26240000000000002</v>
      </c>
      <c r="T51" s="35">
        <f t="shared" si="9"/>
        <v>0</v>
      </c>
      <c r="U51" s="35">
        <f t="shared" si="10"/>
        <v>1.9999999999997797E-4</v>
      </c>
      <c r="V51" s="35">
        <f t="shared" si="11"/>
        <v>1</v>
      </c>
      <c r="W51" s="40">
        <f t="shared" si="12"/>
        <v>0</v>
      </c>
      <c r="X51" s="4" t="str">
        <f t="shared" si="13"/>
        <v>OK</v>
      </c>
      <c r="Y51" s="30">
        <v>0.21110000000000001</v>
      </c>
    </row>
    <row r="52" spans="1:25" x14ac:dyDescent="0.3">
      <c r="A52" s="36" t="s">
        <v>328</v>
      </c>
      <c r="B52" s="16" t="s">
        <v>293</v>
      </c>
      <c r="C52" s="4" t="s">
        <v>188</v>
      </c>
      <c r="D52" s="37">
        <v>0.7</v>
      </c>
      <c r="E52" s="31">
        <v>0</v>
      </c>
      <c r="F52" s="31">
        <v>0</v>
      </c>
      <c r="G52" s="30">
        <f t="shared" si="7"/>
        <v>0</v>
      </c>
      <c r="H52" s="30">
        <v>0</v>
      </c>
      <c r="I52" s="30">
        <v>0</v>
      </c>
      <c r="J52" s="30">
        <v>0.5998</v>
      </c>
      <c r="K52" s="38">
        <v>0.1268</v>
      </c>
      <c r="L52" s="30">
        <v>8.2400000000000001E-2</v>
      </c>
      <c r="M52" s="31">
        <v>2</v>
      </c>
      <c r="N52" s="31">
        <v>30</v>
      </c>
      <c r="O52" s="30">
        <f t="shared" si="8"/>
        <v>6.6666666666666666E-2</v>
      </c>
      <c r="P52" s="30">
        <v>6.6699999999999995E-2</v>
      </c>
      <c r="Q52" s="30">
        <v>6.6699999999999995E-2</v>
      </c>
      <c r="R52" s="39">
        <v>0.19350000000000001</v>
      </c>
      <c r="S52" s="30">
        <v>0.122</v>
      </c>
      <c r="T52" s="35">
        <f t="shared" si="9"/>
        <v>1</v>
      </c>
      <c r="U52" s="35">
        <f t="shared" si="10"/>
        <v>0</v>
      </c>
      <c r="V52" s="35">
        <f t="shared" si="11"/>
        <v>0</v>
      </c>
      <c r="W52" s="40">
        <f t="shared" si="12"/>
        <v>30</v>
      </c>
      <c r="X52" s="4" t="str">
        <f t="shared" si="13"/>
        <v>CENSORED - REVIEW ACTIVE DAY</v>
      </c>
      <c r="Y52" s="30">
        <v>0.1268</v>
      </c>
    </row>
    <row r="53" spans="1:25" x14ac:dyDescent="0.3">
      <c r="A53" s="36" t="s">
        <v>331</v>
      </c>
      <c r="B53" s="16" t="s">
        <v>293</v>
      </c>
      <c r="C53" s="4" t="s">
        <v>221</v>
      </c>
      <c r="D53" s="37">
        <v>0.7</v>
      </c>
      <c r="E53" s="31">
        <v>1226</v>
      </c>
      <c r="F53" s="31">
        <v>30</v>
      </c>
      <c r="G53" s="30">
        <f t="shared" si="7"/>
        <v>40.866666666666667</v>
      </c>
      <c r="H53" s="30">
        <v>40.866700000000002</v>
      </c>
      <c r="I53" s="30">
        <v>38.511099999999999</v>
      </c>
      <c r="J53" s="30">
        <v>40.866700000000002</v>
      </c>
      <c r="K53" s="38">
        <v>40.866700000000002</v>
      </c>
      <c r="L53" s="30">
        <v>12.632</v>
      </c>
      <c r="M53" s="31">
        <v>439</v>
      </c>
      <c r="N53" s="31">
        <v>30</v>
      </c>
      <c r="O53" s="30">
        <f t="shared" si="8"/>
        <v>14.633333333333333</v>
      </c>
      <c r="P53" s="30">
        <v>14.6333</v>
      </c>
      <c r="Q53" s="30">
        <v>14.6333</v>
      </c>
      <c r="R53" s="39">
        <v>55.5</v>
      </c>
      <c r="S53" s="30">
        <v>13.472</v>
      </c>
      <c r="T53" s="35">
        <f t="shared" si="9"/>
        <v>0</v>
      </c>
      <c r="U53" s="35">
        <f t="shared" si="10"/>
        <v>8.1566068521610191E-7</v>
      </c>
      <c r="V53" s="35">
        <f t="shared" si="11"/>
        <v>1</v>
      </c>
      <c r="W53" s="40">
        <f t="shared" si="12"/>
        <v>0</v>
      </c>
      <c r="X53" s="4" t="str">
        <f t="shared" si="13"/>
        <v>OK</v>
      </c>
      <c r="Y53" s="30">
        <v>38.511099999999999</v>
      </c>
    </row>
    <row r="54" spans="1:25" x14ac:dyDescent="0.3">
      <c r="A54" s="36" t="s">
        <v>334</v>
      </c>
      <c r="B54" s="16" t="s">
        <v>293</v>
      </c>
      <c r="C54" s="4" t="s">
        <v>221</v>
      </c>
      <c r="D54" s="37">
        <v>0.7</v>
      </c>
      <c r="E54" s="31">
        <v>668</v>
      </c>
      <c r="F54" s="31">
        <v>30</v>
      </c>
      <c r="G54" s="30">
        <f t="shared" si="7"/>
        <v>22.266666666666666</v>
      </c>
      <c r="H54" s="30">
        <v>22.2667</v>
      </c>
      <c r="I54" s="30">
        <v>21.535299999999999</v>
      </c>
      <c r="J54" s="30">
        <v>22.2667</v>
      </c>
      <c r="K54" s="38">
        <v>22.2667</v>
      </c>
      <c r="L54" s="30">
        <v>7.1253000000000002</v>
      </c>
      <c r="M54" s="31">
        <v>0</v>
      </c>
      <c r="N54" s="31">
        <v>0</v>
      </c>
      <c r="O54" s="30">
        <f t="shared" si="8"/>
        <v>0</v>
      </c>
      <c r="P54" s="30">
        <v>0</v>
      </c>
      <c r="Q54" s="30">
        <v>9.2807999999999993</v>
      </c>
      <c r="R54" s="39">
        <v>31.547499999999999</v>
      </c>
      <c r="S54" s="30">
        <v>7.7195</v>
      </c>
      <c r="T54" s="35">
        <f t="shared" si="9"/>
        <v>0</v>
      </c>
      <c r="U54" s="35">
        <f t="shared" si="10"/>
        <v>1.4970059880603515E-6</v>
      </c>
      <c r="V54" s="35">
        <f t="shared" si="11"/>
        <v>1</v>
      </c>
      <c r="W54" s="40">
        <f t="shared" si="12"/>
        <v>0</v>
      </c>
      <c r="X54" s="4" t="str">
        <f t="shared" si="13"/>
        <v>OK</v>
      </c>
      <c r="Y54" s="30">
        <v>21.535299999999999</v>
      </c>
    </row>
    <row r="55" spans="1:25" x14ac:dyDescent="0.3">
      <c r="A55" s="36" t="s">
        <v>337</v>
      </c>
      <c r="B55" s="16" t="s">
        <v>293</v>
      </c>
      <c r="C55" s="4" t="s">
        <v>221</v>
      </c>
      <c r="D55" s="37">
        <v>0.7</v>
      </c>
      <c r="E55" s="31">
        <v>999</v>
      </c>
      <c r="F55" s="31">
        <v>30</v>
      </c>
      <c r="G55" s="30">
        <f t="shared" si="7"/>
        <v>33.299999999999997</v>
      </c>
      <c r="H55" s="30">
        <v>33.299999999999997</v>
      </c>
      <c r="I55" s="30">
        <v>31.833300000000001</v>
      </c>
      <c r="J55" s="30">
        <v>33.299999999999997</v>
      </c>
      <c r="K55" s="38">
        <v>33.299999999999997</v>
      </c>
      <c r="L55" s="30">
        <v>10.656000000000001</v>
      </c>
      <c r="M55" s="31">
        <v>427</v>
      </c>
      <c r="N55" s="31">
        <v>30</v>
      </c>
      <c r="O55" s="30">
        <f t="shared" si="8"/>
        <v>14.233333333333333</v>
      </c>
      <c r="P55" s="30">
        <v>14.2333</v>
      </c>
      <c r="Q55" s="30">
        <v>14.2333</v>
      </c>
      <c r="R55" s="39">
        <v>47.533299999999997</v>
      </c>
      <c r="S55" s="30">
        <v>11.5886</v>
      </c>
      <c r="T55" s="35">
        <f t="shared" si="9"/>
        <v>0</v>
      </c>
      <c r="U55" s="35">
        <f t="shared" si="10"/>
        <v>0</v>
      </c>
      <c r="V55" s="35">
        <f t="shared" si="11"/>
        <v>1</v>
      </c>
      <c r="W55" s="40">
        <f t="shared" si="12"/>
        <v>0</v>
      </c>
      <c r="X55" s="4" t="str">
        <f t="shared" si="13"/>
        <v>OK</v>
      </c>
      <c r="Y55" s="30">
        <v>31.833300000000001</v>
      </c>
    </row>
    <row r="56" spans="1:25" x14ac:dyDescent="0.3">
      <c r="A56" s="36" t="s">
        <v>340</v>
      </c>
      <c r="B56" s="16" t="s">
        <v>293</v>
      </c>
      <c r="C56" s="4" t="s">
        <v>172</v>
      </c>
      <c r="D56" s="37">
        <v>0.7</v>
      </c>
      <c r="E56" s="31">
        <v>496</v>
      </c>
      <c r="F56" s="31">
        <v>30</v>
      </c>
      <c r="G56" s="30">
        <f t="shared" si="7"/>
        <v>16.533333333333335</v>
      </c>
      <c r="H56" s="30">
        <v>16.533300000000001</v>
      </c>
      <c r="I56" s="30">
        <v>15.0778</v>
      </c>
      <c r="J56" s="30">
        <v>16.533300000000001</v>
      </c>
      <c r="K56" s="38">
        <v>16.533300000000001</v>
      </c>
      <c r="L56" s="30">
        <v>7.1105999999999998</v>
      </c>
      <c r="M56" s="31">
        <v>211</v>
      </c>
      <c r="N56" s="31">
        <v>28.646899999999999</v>
      </c>
      <c r="O56" s="30">
        <f t="shared" si="8"/>
        <v>7.0333333333333332</v>
      </c>
      <c r="P56" s="30">
        <v>7.3654999999999999</v>
      </c>
      <c r="Q56" s="30">
        <v>7.3654999999999999</v>
      </c>
      <c r="R56" s="39">
        <v>23.898800000000001</v>
      </c>
      <c r="S56" s="30">
        <v>7.8452000000000002</v>
      </c>
      <c r="T56" s="35">
        <f t="shared" si="9"/>
        <v>0</v>
      </c>
      <c r="U56" s="35">
        <f t="shared" si="10"/>
        <v>-2.0161290322784353E-6</v>
      </c>
      <c r="V56" s="35">
        <f t="shared" si="11"/>
        <v>1</v>
      </c>
      <c r="W56" s="40">
        <f t="shared" si="12"/>
        <v>0</v>
      </c>
      <c r="X56" s="4" t="str">
        <f t="shared" si="13"/>
        <v>OK</v>
      </c>
      <c r="Y56" s="30">
        <v>15.0778</v>
      </c>
    </row>
    <row r="57" spans="1:25" x14ac:dyDescent="0.3">
      <c r="A57" s="36" t="s">
        <v>343</v>
      </c>
      <c r="B57" s="16" t="s">
        <v>293</v>
      </c>
      <c r="C57" s="4" t="s">
        <v>221</v>
      </c>
      <c r="D57" s="37">
        <v>0.7</v>
      </c>
      <c r="E57" s="31">
        <v>683</v>
      </c>
      <c r="F57" s="31">
        <v>30</v>
      </c>
      <c r="G57" s="30">
        <f t="shared" si="7"/>
        <v>22.766666666666666</v>
      </c>
      <c r="H57" s="30">
        <v>22.7667</v>
      </c>
      <c r="I57" s="30">
        <v>20.5444</v>
      </c>
      <c r="J57" s="30">
        <v>22.7667</v>
      </c>
      <c r="K57" s="38">
        <v>22.7667</v>
      </c>
      <c r="L57" s="30">
        <v>7.0930999999999997</v>
      </c>
      <c r="M57" s="31">
        <v>0</v>
      </c>
      <c r="N57" s="31">
        <v>0</v>
      </c>
      <c r="O57" s="30">
        <f t="shared" si="8"/>
        <v>0</v>
      </c>
      <c r="P57" s="30">
        <v>0</v>
      </c>
      <c r="Q57" s="30">
        <v>6.6125999999999996</v>
      </c>
      <c r="R57" s="39">
        <v>29.379300000000001</v>
      </c>
      <c r="S57" s="30">
        <v>7.4020000000000001</v>
      </c>
      <c r="T57" s="35">
        <f t="shared" si="9"/>
        <v>0</v>
      </c>
      <c r="U57" s="35">
        <f t="shared" si="10"/>
        <v>1.464128843275958E-6</v>
      </c>
      <c r="V57" s="35">
        <f t="shared" si="11"/>
        <v>1</v>
      </c>
      <c r="W57" s="40">
        <f t="shared" si="12"/>
        <v>0</v>
      </c>
      <c r="X57" s="4" t="str">
        <f t="shared" si="13"/>
        <v>OK</v>
      </c>
      <c r="Y57" s="30">
        <v>20.5444</v>
      </c>
    </row>
    <row r="58" spans="1:25" x14ac:dyDescent="0.3">
      <c r="A58" s="36" t="s">
        <v>346</v>
      </c>
      <c r="B58" s="16" t="s">
        <v>293</v>
      </c>
      <c r="C58" s="4" t="s">
        <v>184</v>
      </c>
      <c r="D58" s="37">
        <v>0.7</v>
      </c>
      <c r="E58" s="31">
        <v>10</v>
      </c>
      <c r="F58" s="31">
        <v>5.2927999999999997</v>
      </c>
      <c r="G58" s="30">
        <f t="shared" si="7"/>
        <v>0.33333333333333331</v>
      </c>
      <c r="H58" s="30">
        <v>1.8894</v>
      </c>
      <c r="I58" s="30">
        <v>2.4199000000000002</v>
      </c>
      <c r="J58" s="30">
        <v>7.5838000000000001</v>
      </c>
      <c r="K58" s="38">
        <v>1.8894</v>
      </c>
      <c r="L58" s="30">
        <v>0.94469999999999998</v>
      </c>
      <c r="M58" s="31">
        <v>27</v>
      </c>
      <c r="N58" s="31">
        <v>30</v>
      </c>
      <c r="O58" s="30">
        <f t="shared" si="8"/>
        <v>0.9</v>
      </c>
      <c r="P58" s="30">
        <v>0.9</v>
      </c>
      <c r="Q58" s="30">
        <v>0.9</v>
      </c>
      <c r="R58" s="39">
        <v>2.7894000000000001</v>
      </c>
      <c r="S58" s="30">
        <v>1.0464</v>
      </c>
      <c r="T58" s="35">
        <f t="shared" si="9"/>
        <v>0.82357333333333338</v>
      </c>
      <c r="U58" s="35">
        <f t="shared" si="10"/>
        <v>4.6682000000000006</v>
      </c>
      <c r="V58" s="35">
        <f t="shared" si="11"/>
        <v>0.17642666666666665</v>
      </c>
      <c r="W58" s="40">
        <f t="shared" si="12"/>
        <v>24.7072</v>
      </c>
      <c r="X58" s="4" t="str">
        <f t="shared" si="13"/>
        <v>CENSORED - REVIEW ACTIVE DAY</v>
      </c>
      <c r="Y58" s="30">
        <v>2.4199000000000002</v>
      </c>
    </row>
    <row r="59" spans="1:25" x14ac:dyDescent="0.3">
      <c r="A59" s="36" t="s">
        <v>349</v>
      </c>
      <c r="B59" s="16" t="s">
        <v>293</v>
      </c>
      <c r="C59" s="4" t="s">
        <v>172</v>
      </c>
      <c r="D59" s="37">
        <v>0.7</v>
      </c>
      <c r="E59" s="31">
        <v>479</v>
      </c>
      <c r="F59" s="31">
        <v>30</v>
      </c>
      <c r="G59" s="30">
        <f t="shared" si="7"/>
        <v>15.966666666666667</v>
      </c>
      <c r="H59" s="30">
        <v>15.966699999999999</v>
      </c>
      <c r="I59" s="30">
        <v>14.966699999999999</v>
      </c>
      <c r="J59" s="30">
        <v>15.966699999999999</v>
      </c>
      <c r="K59" s="38">
        <v>15.966699999999999</v>
      </c>
      <c r="L59" s="30">
        <v>7.0098000000000003</v>
      </c>
      <c r="M59" s="31">
        <v>60</v>
      </c>
      <c r="N59" s="31">
        <v>11</v>
      </c>
      <c r="O59" s="30">
        <f t="shared" si="8"/>
        <v>2</v>
      </c>
      <c r="P59" s="30">
        <v>5.4545000000000003</v>
      </c>
      <c r="Q59" s="30">
        <v>5.4545000000000003</v>
      </c>
      <c r="R59" s="39">
        <v>21.421199999999999</v>
      </c>
      <c r="S59" s="30">
        <v>7.4271000000000003</v>
      </c>
      <c r="T59" s="35">
        <f t="shared" si="9"/>
        <v>0</v>
      </c>
      <c r="U59" s="35">
        <f t="shared" si="10"/>
        <v>2.0876826722915354E-6</v>
      </c>
      <c r="V59" s="35">
        <f t="shared" si="11"/>
        <v>1</v>
      </c>
      <c r="W59" s="40">
        <f t="shared" si="12"/>
        <v>0</v>
      </c>
      <c r="X59" s="4" t="str">
        <f t="shared" si="13"/>
        <v>OK</v>
      </c>
      <c r="Y59" s="30">
        <v>14.966699999999999</v>
      </c>
    </row>
    <row r="60" spans="1:25" x14ac:dyDescent="0.3">
      <c r="A60" s="36" t="s">
        <v>352</v>
      </c>
      <c r="B60" s="16" t="s">
        <v>293</v>
      </c>
      <c r="C60" s="4" t="s">
        <v>179</v>
      </c>
      <c r="D60" s="37">
        <v>0.7</v>
      </c>
      <c r="E60" s="31">
        <v>0</v>
      </c>
      <c r="F60" s="31">
        <v>0</v>
      </c>
      <c r="G60" s="30">
        <f t="shared" si="7"/>
        <v>0</v>
      </c>
      <c r="H60" s="30">
        <v>0</v>
      </c>
      <c r="I60" s="30">
        <v>0</v>
      </c>
      <c r="J60" s="30">
        <v>5.718</v>
      </c>
      <c r="K60" s="38">
        <v>1.5366</v>
      </c>
      <c r="L60" s="30">
        <v>0.6915</v>
      </c>
      <c r="M60" s="31">
        <v>20</v>
      </c>
      <c r="N60" s="31">
        <v>30</v>
      </c>
      <c r="O60" s="30">
        <f t="shared" si="8"/>
        <v>0.66666666666666663</v>
      </c>
      <c r="P60" s="30">
        <v>0.66669999999999996</v>
      </c>
      <c r="Q60" s="30">
        <v>0.66669999999999996</v>
      </c>
      <c r="R60" s="39">
        <v>2.2033</v>
      </c>
      <c r="S60" s="30">
        <v>0.82679999999999998</v>
      </c>
      <c r="T60" s="35">
        <f t="shared" si="9"/>
        <v>1</v>
      </c>
      <c r="U60" s="35">
        <f t="shared" si="10"/>
        <v>0</v>
      </c>
      <c r="V60" s="35">
        <f t="shared" si="11"/>
        <v>0</v>
      </c>
      <c r="W60" s="40">
        <f t="shared" si="12"/>
        <v>30</v>
      </c>
      <c r="X60" s="4" t="str">
        <f t="shared" si="13"/>
        <v>CENSORED - REVIEW ACTIVE DAY</v>
      </c>
      <c r="Y60" s="30">
        <v>1.5366</v>
      </c>
    </row>
    <row r="61" spans="1:25" x14ac:dyDescent="0.3">
      <c r="A61" s="36" t="s">
        <v>355</v>
      </c>
      <c r="B61" s="16" t="s">
        <v>293</v>
      </c>
      <c r="C61" s="4" t="s">
        <v>184</v>
      </c>
      <c r="D61" s="37">
        <v>0.7</v>
      </c>
      <c r="E61" s="31">
        <v>17</v>
      </c>
      <c r="F61" s="31">
        <v>8.3975000000000009</v>
      </c>
      <c r="G61" s="30">
        <f t="shared" si="7"/>
        <v>0.56666666666666665</v>
      </c>
      <c r="H61" s="30">
        <v>2.0244</v>
      </c>
      <c r="I61" s="30">
        <v>2.3393000000000002</v>
      </c>
      <c r="J61" s="30">
        <v>8.9725000000000001</v>
      </c>
      <c r="K61" s="38">
        <v>2.0244</v>
      </c>
      <c r="L61" s="30">
        <v>1.0122</v>
      </c>
      <c r="M61" s="31">
        <v>25</v>
      </c>
      <c r="N61" s="31">
        <v>30</v>
      </c>
      <c r="O61" s="30">
        <f t="shared" si="8"/>
        <v>0.83333333333333337</v>
      </c>
      <c r="P61" s="30">
        <v>0.83330000000000004</v>
      </c>
      <c r="Q61" s="30">
        <v>0.83330000000000004</v>
      </c>
      <c r="R61" s="39">
        <v>2.8576999999999999</v>
      </c>
      <c r="S61" s="30">
        <v>1.0946</v>
      </c>
      <c r="T61" s="35">
        <f t="shared" si="9"/>
        <v>0.7200833333333333</v>
      </c>
      <c r="U61" s="35">
        <f t="shared" si="10"/>
        <v>2.5724705882352943</v>
      </c>
      <c r="V61" s="35">
        <f t="shared" si="11"/>
        <v>0.2799166666666667</v>
      </c>
      <c r="W61" s="40">
        <f t="shared" si="12"/>
        <v>21.602499999999999</v>
      </c>
      <c r="X61" s="4" t="str">
        <f t="shared" si="13"/>
        <v>CENSORED - REVIEW ACTIVE DAY</v>
      </c>
      <c r="Y61" s="30">
        <v>2.3393000000000002</v>
      </c>
    </row>
    <row r="62" spans="1:25" x14ac:dyDescent="0.3">
      <c r="A62" s="36" t="s">
        <v>358</v>
      </c>
      <c r="B62" s="16" t="s">
        <v>293</v>
      </c>
      <c r="C62" s="4" t="s">
        <v>188</v>
      </c>
      <c r="D62" s="37">
        <v>0.7</v>
      </c>
      <c r="E62" s="31">
        <v>0</v>
      </c>
      <c r="F62" s="31">
        <v>0</v>
      </c>
      <c r="G62" s="30">
        <f t="shared" si="7"/>
        <v>0</v>
      </c>
      <c r="H62" s="30">
        <v>0</v>
      </c>
      <c r="I62" s="30">
        <v>0</v>
      </c>
      <c r="J62" s="30">
        <v>4.1585000000000001</v>
      </c>
      <c r="K62" s="38">
        <v>0.74</v>
      </c>
      <c r="L62" s="30">
        <v>0.48099999999999998</v>
      </c>
      <c r="M62" s="31">
        <v>11</v>
      </c>
      <c r="N62" s="31">
        <v>30</v>
      </c>
      <c r="O62" s="30">
        <f t="shared" si="8"/>
        <v>0.36666666666666664</v>
      </c>
      <c r="P62" s="30">
        <v>0.36670000000000003</v>
      </c>
      <c r="Q62" s="30">
        <v>0.36670000000000003</v>
      </c>
      <c r="R62" s="39">
        <v>1.1067</v>
      </c>
      <c r="S62" s="30">
        <v>0.69020000000000004</v>
      </c>
      <c r="T62" s="35">
        <f t="shared" si="9"/>
        <v>1</v>
      </c>
      <c r="U62" s="35">
        <f t="shared" si="10"/>
        <v>0</v>
      </c>
      <c r="V62" s="35">
        <f t="shared" si="11"/>
        <v>0</v>
      </c>
      <c r="W62" s="40">
        <f t="shared" si="12"/>
        <v>30</v>
      </c>
      <c r="X62" s="4" t="str">
        <f t="shared" si="13"/>
        <v>CENSORED - REVIEW ACTIVE DAY</v>
      </c>
      <c r="Y62" s="30">
        <v>0.74</v>
      </c>
    </row>
    <row r="63" spans="1:25" x14ac:dyDescent="0.3">
      <c r="A63" s="36" t="s">
        <v>361</v>
      </c>
      <c r="B63" s="16" t="s">
        <v>293</v>
      </c>
      <c r="C63" s="4" t="s">
        <v>179</v>
      </c>
      <c r="D63" s="37">
        <v>0.7</v>
      </c>
      <c r="E63" s="31">
        <v>45</v>
      </c>
      <c r="F63" s="31">
        <v>30</v>
      </c>
      <c r="G63" s="30">
        <f t="shared" si="7"/>
        <v>1.5</v>
      </c>
      <c r="H63" s="30">
        <v>1.5</v>
      </c>
      <c r="I63" s="30">
        <v>1.6889000000000001</v>
      </c>
      <c r="J63" s="30">
        <v>1.5</v>
      </c>
      <c r="K63" s="38">
        <v>1.5</v>
      </c>
      <c r="L63" s="30">
        <v>1.02</v>
      </c>
      <c r="M63" s="31">
        <v>18</v>
      </c>
      <c r="N63" s="31">
        <v>30</v>
      </c>
      <c r="O63" s="30">
        <f t="shared" si="8"/>
        <v>0.6</v>
      </c>
      <c r="P63" s="30">
        <v>0.6</v>
      </c>
      <c r="Q63" s="30">
        <v>0.6</v>
      </c>
      <c r="R63" s="39">
        <v>2.1</v>
      </c>
      <c r="S63" s="30">
        <v>1.0986</v>
      </c>
      <c r="T63" s="35">
        <f t="shared" si="9"/>
        <v>0</v>
      </c>
      <c r="U63" s="35">
        <f t="shared" si="10"/>
        <v>0</v>
      </c>
      <c r="V63" s="35">
        <f t="shared" si="11"/>
        <v>1</v>
      </c>
      <c r="W63" s="40">
        <f t="shared" si="12"/>
        <v>0</v>
      </c>
      <c r="X63" s="4" t="str">
        <f t="shared" si="13"/>
        <v>OK</v>
      </c>
      <c r="Y63" s="30">
        <v>1.6889000000000001</v>
      </c>
    </row>
    <row r="64" spans="1:25" x14ac:dyDescent="0.3">
      <c r="A64" s="36" t="s">
        <v>364</v>
      </c>
      <c r="B64" s="16" t="s">
        <v>293</v>
      </c>
      <c r="C64" s="4" t="s">
        <v>188</v>
      </c>
      <c r="D64" s="37">
        <v>0.7</v>
      </c>
      <c r="E64" s="31">
        <v>0</v>
      </c>
      <c r="F64" s="31">
        <v>0</v>
      </c>
      <c r="G64" s="30">
        <f t="shared" si="7"/>
        <v>0</v>
      </c>
      <c r="H64" s="30">
        <v>0</v>
      </c>
      <c r="I64" s="30">
        <v>0</v>
      </c>
      <c r="J64" s="30">
        <v>2.5991</v>
      </c>
      <c r="K64" s="38">
        <v>0.61250000000000004</v>
      </c>
      <c r="L64" s="30">
        <v>0.39810000000000001</v>
      </c>
      <c r="M64" s="31">
        <v>7</v>
      </c>
      <c r="N64" s="31">
        <v>30</v>
      </c>
      <c r="O64" s="30">
        <f t="shared" si="8"/>
        <v>0.23333333333333334</v>
      </c>
      <c r="P64" s="30">
        <v>0.23330000000000001</v>
      </c>
      <c r="Q64" s="30">
        <v>0.23330000000000001</v>
      </c>
      <c r="R64" s="39">
        <v>0.8458</v>
      </c>
      <c r="S64" s="30">
        <v>0.50770000000000004</v>
      </c>
      <c r="T64" s="35">
        <f t="shared" si="9"/>
        <v>1</v>
      </c>
      <c r="U64" s="35">
        <f t="shared" si="10"/>
        <v>0</v>
      </c>
      <c r="V64" s="35">
        <f t="shared" si="11"/>
        <v>0</v>
      </c>
      <c r="W64" s="40">
        <f t="shared" si="12"/>
        <v>30</v>
      </c>
      <c r="X64" s="4" t="str">
        <f t="shared" si="13"/>
        <v>CENSORED - REVIEW ACTIVE DAY</v>
      </c>
      <c r="Y64" s="30">
        <v>0.61250000000000004</v>
      </c>
    </row>
    <row r="65" spans="1:25" x14ac:dyDescent="0.3">
      <c r="A65" s="36" t="s">
        <v>367</v>
      </c>
      <c r="B65" s="16" t="s">
        <v>293</v>
      </c>
      <c r="C65" s="4" t="s">
        <v>221</v>
      </c>
      <c r="D65" s="37">
        <v>0.7</v>
      </c>
      <c r="E65" s="31">
        <v>369</v>
      </c>
      <c r="F65" s="31">
        <v>10.157500000000001</v>
      </c>
      <c r="G65" s="30">
        <f t="shared" si="7"/>
        <v>12.3</v>
      </c>
      <c r="H65" s="30">
        <v>36.327800000000003</v>
      </c>
      <c r="I65" s="30">
        <v>35.234999999999999</v>
      </c>
      <c r="J65" s="30">
        <v>29.197199999999999</v>
      </c>
      <c r="K65" s="38">
        <v>36.327800000000003</v>
      </c>
      <c r="L65" s="30">
        <v>11.6249</v>
      </c>
      <c r="M65" s="31">
        <v>200</v>
      </c>
      <c r="N65" s="31">
        <v>14.7834</v>
      </c>
      <c r="O65" s="30">
        <f t="shared" si="8"/>
        <v>6.666666666666667</v>
      </c>
      <c r="P65" s="30">
        <v>13.528700000000001</v>
      </c>
      <c r="Q65" s="30">
        <v>13.528700000000001</v>
      </c>
      <c r="R65" s="39">
        <v>49.856499999999997</v>
      </c>
      <c r="S65" s="30">
        <v>12.4048</v>
      </c>
      <c r="T65" s="35">
        <f t="shared" si="9"/>
        <v>0.66141666666666665</v>
      </c>
      <c r="U65" s="35">
        <f t="shared" si="10"/>
        <v>1.953479674796748</v>
      </c>
      <c r="V65" s="35">
        <f t="shared" si="11"/>
        <v>0.33858333333333335</v>
      </c>
      <c r="W65" s="40">
        <f t="shared" si="12"/>
        <v>19.842500000000001</v>
      </c>
      <c r="X65" s="4" t="str">
        <f t="shared" si="13"/>
        <v>CENSORED - REVIEW ACTIVE DAY</v>
      </c>
      <c r="Y65" s="30">
        <v>35.234999999999999</v>
      </c>
    </row>
    <row r="66" spans="1:25" x14ac:dyDescent="0.3">
      <c r="A66" s="36" t="s">
        <v>370</v>
      </c>
      <c r="B66" s="16" t="s">
        <v>293</v>
      </c>
      <c r="C66" s="4" t="s">
        <v>172</v>
      </c>
      <c r="D66" s="37">
        <v>0.7</v>
      </c>
      <c r="E66" s="31">
        <v>597</v>
      </c>
      <c r="F66" s="31">
        <v>30</v>
      </c>
      <c r="G66" s="30">
        <f t="shared" si="7"/>
        <v>19.899999999999999</v>
      </c>
      <c r="H66" s="30">
        <v>19.899999999999999</v>
      </c>
      <c r="I66" s="30">
        <v>17.321300000000001</v>
      </c>
      <c r="J66" s="30">
        <v>19.899999999999999</v>
      </c>
      <c r="K66" s="38">
        <v>19.899999999999999</v>
      </c>
      <c r="L66" s="30">
        <v>8.3223000000000003</v>
      </c>
      <c r="M66" s="31">
        <v>83</v>
      </c>
      <c r="N66" s="31">
        <v>10.3215</v>
      </c>
      <c r="O66" s="30">
        <f t="shared" si="8"/>
        <v>2.7666666666666666</v>
      </c>
      <c r="P66" s="30">
        <v>8.0414999999999992</v>
      </c>
      <c r="Q66" s="30">
        <v>8.0414999999999992</v>
      </c>
      <c r="R66" s="39">
        <v>27.941500000000001</v>
      </c>
      <c r="S66" s="30">
        <v>9.0749999999999993</v>
      </c>
      <c r="T66" s="35">
        <f t="shared" si="9"/>
        <v>0</v>
      </c>
      <c r="U66" s="35">
        <f t="shared" si="10"/>
        <v>0</v>
      </c>
      <c r="V66" s="35">
        <f t="shared" si="11"/>
        <v>1</v>
      </c>
      <c r="W66" s="40">
        <f t="shared" si="12"/>
        <v>0</v>
      </c>
      <c r="X66" s="4" t="str">
        <f t="shared" si="13"/>
        <v>OK</v>
      </c>
      <c r="Y66" s="30">
        <v>17.321300000000001</v>
      </c>
    </row>
    <row r="67" spans="1:25" x14ac:dyDescent="0.3">
      <c r="A67" s="36" t="s">
        <v>373</v>
      </c>
      <c r="B67" s="16" t="s">
        <v>293</v>
      </c>
      <c r="C67" s="4" t="s">
        <v>221</v>
      </c>
      <c r="D67" s="37">
        <v>0.7</v>
      </c>
      <c r="E67" s="31">
        <v>657</v>
      </c>
      <c r="F67" s="31">
        <v>30</v>
      </c>
      <c r="G67" s="30">
        <f t="shared" si="7"/>
        <v>21.9</v>
      </c>
      <c r="H67" s="30">
        <v>21.9</v>
      </c>
      <c r="I67" s="30">
        <v>20.6111</v>
      </c>
      <c r="J67" s="30">
        <v>21.9</v>
      </c>
      <c r="K67" s="38">
        <v>21.9</v>
      </c>
      <c r="L67" s="30">
        <v>6.6359000000000004</v>
      </c>
      <c r="M67" s="31">
        <v>100</v>
      </c>
      <c r="N67" s="31">
        <v>9.5140999999999991</v>
      </c>
      <c r="O67" s="30">
        <f t="shared" si="8"/>
        <v>3.3333333333333335</v>
      </c>
      <c r="P67" s="30">
        <v>10.5107</v>
      </c>
      <c r="Q67" s="30">
        <v>10.5107</v>
      </c>
      <c r="R67" s="39">
        <v>32.410699999999999</v>
      </c>
      <c r="S67" s="30">
        <v>7.4396000000000004</v>
      </c>
      <c r="T67" s="35">
        <f t="shared" si="9"/>
        <v>0</v>
      </c>
      <c r="U67" s="35">
        <f t="shared" si="10"/>
        <v>0</v>
      </c>
      <c r="V67" s="35">
        <f t="shared" si="11"/>
        <v>1</v>
      </c>
      <c r="W67" s="40">
        <f t="shared" si="12"/>
        <v>0</v>
      </c>
      <c r="X67" s="4" t="str">
        <f t="shared" si="13"/>
        <v>OK</v>
      </c>
      <c r="Y67" s="30">
        <v>20.6111</v>
      </c>
    </row>
    <row r="68" spans="1:25" x14ac:dyDescent="0.3">
      <c r="A68" s="36" t="s">
        <v>376</v>
      </c>
      <c r="B68" s="16" t="s">
        <v>293</v>
      </c>
      <c r="C68" s="4" t="s">
        <v>184</v>
      </c>
      <c r="D68" s="37">
        <v>0.7</v>
      </c>
      <c r="E68" s="31">
        <v>54</v>
      </c>
      <c r="F68" s="31">
        <v>25.711400000000001</v>
      </c>
      <c r="G68" s="30">
        <f t="shared" si="7"/>
        <v>1.8</v>
      </c>
      <c r="H68" s="30">
        <v>2.1002000000000001</v>
      </c>
      <c r="I68" s="30">
        <v>2.2984</v>
      </c>
      <c r="J68" s="30">
        <v>8.5150000000000006</v>
      </c>
      <c r="K68" s="38">
        <v>2.1002000000000001</v>
      </c>
      <c r="L68" s="30">
        <v>1.0501</v>
      </c>
      <c r="M68" s="31">
        <v>22</v>
      </c>
      <c r="N68" s="31">
        <v>30</v>
      </c>
      <c r="O68" s="30">
        <f t="shared" si="8"/>
        <v>0.73333333333333328</v>
      </c>
      <c r="P68" s="30">
        <v>0.73329999999999995</v>
      </c>
      <c r="Q68" s="30">
        <v>0.73329999999999995</v>
      </c>
      <c r="R68" s="39">
        <v>2.8334999999999999</v>
      </c>
      <c r="S68" s="30">
        <v>1.1123000000000001</v>
      </c>
      <c r="T68" s="35">
        <f t="shared" si="9"/>
        <v>0.14295333333333329</v>
      </c>
      <c r="U68" s="35">
        <f t="shared" si="10"/>
        <v>0.16677777777777769</v>
      </c>
      <c r="V68" s="35">
        <f t="shared" si="11"/>
        <v>0.85704666666666673</v>
      </c>
      <c r="W68" s="40">
        <f t="shared" si="12"/>
        <v>4.2885999999999989</v>
      </c>
      <c r="X68" s="4" t="str">
        <f t="shared" si="13"/>
        <v>OK</v>
      </c>
      <c r="Y68" s="30">
        <v>2.2984</v>
      </c>
    </row>
    <row r="69" spans="1:25" x14ac:dyDescent="0.3">
      <c r="A69" s="36" t="s">
        <v>379</v>
      </c>
      <c r="B69" s="16" t="s">
        <v>293</v>
      </c>
      <c r="C69" s="4" t="s">
        <v>172</v>
      </c>
      <c r="D69" s="37">
        <v>0.7</v>
      </c>
      <c r="E69" s="31">
        <v>492</v>
      </c>
      <c r="F69" s="31">
        <v>30</v>
      </c>
      <c r="G69" s="30">
        <f t="shared" ref="G69:G100" si="14">E69/30</f>
        <v>16.399999999999999</v>
      </c>
      <c r="H69" s="30">
        <v>16.399999999999999</v>
      </c>
      <c r="I69" s="30">
        <v>14.722200000000001</v>
      </c>
      <c r="J69" s="30">
        <v>16.399999999999999</v>
      </c>
      <c r="K69" s="38">
        <v>16.399999999999999</v>
      </c>
      <c r="L69" s="30">
        <v>6.2191999999999998</v>
      </c>
      <c r="M69" s="31">
        <v>66</v>
      </c>
      <c r="N69" s="31">
        <v>12.747</v>
      </c>
      <c r="O69" s="30">
        <f t="shared" ref="O69:O100" si="15">M69/30</f>
        <v>2.2000000000000002</v>
      </c>
      <c r="P69" s="30">
        <v>5.1776999999999997</v>
      </c>
      <c r="Q69" s="30">
        <v>5.1776999999999997</v>
      </c>
      <c r="R69" s="39">
        <v>21.5777</v>
      </c>
      <c r="S69" s="30">
        <v>6.5635000000000003</v>
      </c>
      <c r="T69" s="35">
        <f t="shared" ref="T69:T100" si="16">MAX(0,(30-F69)/30)</f>
        <v>0</v>
      </c>
      <c r="U69" s="35">
        <f t="shared" ref="U69:U100" si="17">IF(G69&gt;0,K69/G69-1,0)</f>
        <v>0</v>
      </c>
      <c r="V69" s="35">
        <f t="shared" ref="V69:V100" si="18">F69/30</f>
        <v>1</v>
      </c>
      <c r="W69" s="40">
        <f t="shared" ref="W69:W100" si="19">MAX(0,30-F69)</f>
        <v>0</v>
      </c>
      <c r="X69" s="4" t="str">
        <f t="shared" ref="X69:X100" si="20">IF(F69&lt;20,"CENSORED - REVIEW ACTIVE DAY","OK")</f>
        <v>OK</v>
      </c>
      <c r="Y69" s="30">
        <v>14.722200000000001</v>
      </c>
    </row>
    <row r="70" spans="1:25" x14ac:dyDescent="0.3">
      <c r="A70" s="36" t="s">
        <v>382</v>
      </c>
      <c r="B70" s="16" t="s">
        <v>293</v>
      </c>
      <c r="C70" s="4" t="s">
        <v>179</v>
      </c>
      <c r="D70" s="37">
        <v>0.7</v>
      </c>
      <c r="E70" s="31">
        <v>0</v>
      </c>
      <c r="F70" s="31">
        <v>0</v>
      </c>
      <c r="G70" s="30">
        <f t="shared" si="14"/>
        <v>0</v>
      </c>
      <c r="H70" s="30">
        <v>0</v>
      </c>
      <c r="I70" s="30">
        <v>1.6303000000000001</v>
      </c>
      <c r="J70" s="30">
        <v>5.0381999999999998</v>
      </c>
      <c r="K70" s="38">
        <v>1.6303000000000001</v>
      </c>
      <c r="L70" s="30">
        <v>1.1086</v>
      </c>
      <c r="M70" s="31">
        <v>19</v>
      </c>
      <c r="N70" s="31">
        <v>30</v>
      </c>
      <c r="O70" s="30">
        <f t="shared" si="15"/>
        <v>0.6333333333333333</v>
      </c>
      <c r="P70" s="30">
        <v>0.63329999999999997</v>
      </c>
      <c r="Q70" s="30">
        <v>0.63329999999999997</v>
      </c>
      <c r="R70" s="39">
        <v>2.2635999999999998</v>
      </c>
      <c r="S70" s="30">
        <v>1.1893</v>
      </c>
      <c r="T70" s="35">
        <f t="shared" si="16"/>
        <v>1</v>
      </c>
      <c r="U70" s="35">
        <f t="shared" si="17"/>
        <v>0</v>
      </c>
      <c r="V70" s="35">
        <f t="shared" si="18"/>
        <v>0</v>
      </c>
      <c r="W70" s="40">
        <f t="shared" si="19"/>
        <v>30</v>
      </c>
      <c r="X70" s="4" t="str">
        <f t="shared" si="20"/>
        <v>CENSORED - REVIEW ACTIVE DAY</v>
      </c>
      <c r="Y70" s="30">
        <v>1.6303000000000001</v>
      </c>
    </row>
    <row r="71" spans="1:25" x14ac:dyDescent="0.3">
      <c r="A71" s="36" t="s">
        <v>385</v>
      </c>
      <c r="B71" s="16" t="s">
        <v>293</v>
      </c>
      <c r="C71" s="4" t="s">
        <v>184</v>
      </c>
      <c r="D71" s="37">
        <v>0.7</v>
      </c>
      <c r="E71" s="31">
        <v>74</v>
      </c>
      <c r="F71" s="31">
        <v>30</v>
      </c>
      <c r="G71" s="30">
        <f t="shared" si="14"/>
        <v>2.4666666666666668</v>
      </c>
      <c r="H71" s="30">
        <v>2.4666999999999999</v>
      </c>
      <c r="I71" s="30">
        <v>2.0444</v>
      </c>
      <c r="J71" s="30">
        <v>2.4666999999999999</v>
      </c>
      <c r="K71" s="38">
        <v>2.4666999999999999</v>
      </c>
      <c r="L71" s="30">
        <v>1.2333000000000001</v>
      </c>
      <c r="M71" s="31">
        <v>35</v>
      </c>
      <c r="N71" s="31">
        <v>30</v>
      </c>
      <c r="O71" s="30">
        <f t="shared" si="15"/>
        <v>1.1666666666666667</v>
      </c>
      <c r="P71" s="30">
        <v>1.1667000000000001</v>
      </c>
      <c r="Q71" s="30">
        <v>1.1667000000000001</v>
      </c>
      <c r="R71" s="39">
        <v>3.6334</v>
      </c>
      <c r="S71" s="30">
        <v>1.3643000000000001</v>
      </c>
      <c r="T71" s="35">
        <f t="shared" si="16"/>
        <v>0</v>
      </c>
      <c r="U71" s="35">
        <f t="shared" si="17"/>
        <v>1.3513513513530029E-5</v>
      </c>
      <c r="V71" s="35">
        <f t="shared" si="18"/>
        <v>1</v>
      </c>
      <c r="W71" s="40">
        <f t="shared" si="19"/>
        <v>0</v>
      </c>
      <c r="X71" s="4" t="str">
        <f t="shared" si="20"/>
        <v>OK</v>
      </c>
      <c r="Y71" s="30">
        <v>2.0444</v>
      </c>
    </row>
    <row r="72" spans="1:25" x14ac:dyDescent="0.3">
      <c r="A72" s="36" t="s">
        <v>388</v>
      </c>
      <c r="B72" s="16" t="s">
        <v>293</v>
      </c>
      <c r="C72" s="4" t="s">
        <v>188</v>
      </c>
      <c r="D72" s="37">
        <v>0.7</v>
      </c>
      <c r="E72" s="31">
        <v>28</v>
      </c>
      <c r="F72" s="31">
        <v>30</v>
      </c>
      <c r="G72" s="30">
        <f t="shared" si="14"/>
        <v>0.93333333333333335</v>
      </c>
      <c r="H72" s="30">
        <v>0.93330000000000002</v>
      </c>
      <c r="I72" s="30">
        <v>0.66669999999999996</v>
      </c>
      <c r="J72" s="30">
        <v>0.93330000000000002</v>
      </c>
      <c r="K72" s="38">
        <v>0.93330000000000002</v>
      </c>
      <c r="L72" s="30">
        <v>1.2416</v>
      </c>
      <c r="M72" s="31">
        <v>7</v>
      </c>
      <c r="N72" s="31">
        <v>30</v>
      </c>
      <c r="O72" s="30">
        <f t="shared" si="15"/>
        <v>0.23333333333333334</v>
      </c>
      <c r="P72" s="30">
        <v>0.23330000000000001</v>
      </c>
      <c r="Q72" s="30">
        <v>0.23330000000000001</v>
      </c>
      <c r="R72" s="39">
        <v>1.1666000000000001</v>
      </c>
      <c r="S72" s="30">
        <v>1.2808999999999999</v>
      </c>
      <c r="T72" s="35">
        <f t="shared" si="16"/>
        <v>0</v>
      </c>
      <c r="U72" s="35">
        <f t="shared" si="17"/>
        <v>-3.571428571425006E-5</v>
      </c>
      <c r="V72" s="35">
        <f t="shared" si="18"/>
        <v>1</v>
      </c>
      <c r="W72" s="40">
        <f t="shared" si="19"/>
        <v>0</v>
      </c>
      <c r="X72" s="4" t="str">
        <f t="shared" si="20"/>
        <v>OK</v>
      </c>
      <c r="Y72" s="30">
        <v>0.66669999999999996</v>
      </c>
    </row>
    <row r="73" spans="1:25" x14ac:dyDescent="0.3">
      <c r="A73" s="36" t="s">
        <v>391</v>
      </c>
      <c r="B73" s="16" t="s">
        <v>293</v>
      </c>
      <c r="C73" s="4" t="s">
        <v>179</v>
      </c>
      <c r="D73" s="37">
        <v>0.7</v>
      </c>
      <c r="E73" s="31">
        <v>56</v>
      </c>
      <c r="F73" s="31">
        <v>30</v>
      </c>
      <c r="G73" s="30">
        <f t="shared" si="14"/>
        <v>1.8666666666666667</v>
      </c>
      <c r="H73" s="30">
        <v>1.8667</v>
      </c>
      <c r="I73" s="30">
        <v>1.7444</v>
      </c>
      <c r="J73" s="30">
        <v>1.8667</v>
      </c>
      <c r="K73" s="38">
        <v>1.8667</v>
      </c>
      <c r="L73" s="30">
        <v>1.2063999999999999</v>
      </c>
      <c r="M73" s="31">
        <v>27</v>
      </c>
      <c r="N73" s="31">
        <v>30</v>
      </c>
      <c r="O73" s="30">
        <f t="shared" si="15"/>
        <v>0.9</v>
      </c>
      <c r="P73" s="30">
        <v>0.9</v>
      </c>
      <c r="Q73" s="30">
        <v>0.9</v>
      </c>
      <c r="R73" s="39">
        <v>2.7667000000000002</v>
      </c>
      <c r="S73" s="30">
        <v>1.3528</v>
      </c>
      <c r="T73" s="35">
        <f t="shared" si="16"/>
        <v>0</v>
      </c>
      <c r="U73" s="35">
        <f t="shared" si="17"/>
        <v>1.7857142857069519E-5</v>
      </c>
      <c r="V73" s="35">
        <f t="shared" si="18"/>
        <v>1</v>
      </c>
      <c r="W73" s="40">
        <f t="shared" si="19"/>
        <v>0</v>
      </c>
      <c r="X73" s="4" t="str">
        <f t="shared" si="20"/>
        <v>OK</v>
      </c>
      <c r="Y73" s="30">
        <v>1.7444</v>
      </c>
    </row>
    <row r="74" spans="1:25" x14ac:dyDescent="0.3">
      <c r="A74" s="36" t="s">
        <v>394</v>
      </c>
      <c r="B74" s="16" t="s">
        <v>293</v>
      </c>
      <c r="C74" s="4" t="s">
        <v>188</v>
      </c>
      <c r="D74" s="37">
        <v>0.7</v>
      </c>
      <c r="E74" s="31">
        <v>12</v>
      </c>
      <c r="F74" s="31">
        <v>30</v>
      </c>
      <c r="G74" s="30">
        <f t="shared" si="14"/>
        <v>0.4</v>
      </c>
      <c r="H74" s="30">
        <v>0.4</v>
      </c>
      <c r="I74" s="30">
        <v>0.43330000000000002</v>
      </c>
      <c r="J74" s="30">
        <v>0.4</v>
      </c>
      <c r="K74" s="38">
        <v>0.4</v>
      </c>
      <c r="L74" s="30">
        <v>0.54</v>
      </c>
      <c r="M74" s="31">
        <v>6</v>
      </c>
      <c r="N74" s="31">
        <v>30</v>
      </c>
      <c r="O74" s="30">
        <f t="shared" si="15"/>
        <v>0.2</v>
      </c>
      <c r="P74" s="30">
        <v>0.2</v>
      </c>
      <c r="Q74" s="30">
        <v>0.2</v>
      </c>
      <c r="R74" s="39">
        <v>0.6</v>
      </c>
      <c r="S74" s="30">
        <v>0.60370000000000001</v>
      </c>
      <c r="T74" s="35">
        <f t="shared" si="16"/>
        <v>0</v>
      </c>
      <c r="U74" s="35">
        <f t="shared" si="17"/>
        <v>0</v>
      </c>
      <c r="V74" s="35">
        <f t="shared" si="18"/>
        <v>1</v>
      </c>
      <c r="W74" s="40">
        <f t="shared" si="19"/>
        <v>0</v>
      </c>
      <c r="X74" s="4" t="str">
        <f t="shared" si="20"/>
        <v>OK</v>
      </c>
      <c r="Y74" s="30">
        <v>0.43330000000000002</v>
      </c>
    </row>
    <row r="75" spans="1:25" x14ac:dyDescent="0.3">
      <c r="A75" s="36" t="s">
        <v>397</v>
      </c>
      <c r="B75" s="16" t="s">
        <v>293</v>
      </c>
      <c r="C75" s="4" t="s">
        <v>188</v>
      </c>
      <c r="D75" s="37">
        <v>0.7</v>
      </c>
      <c r="E75" s="31">
        <v>20</v>
      </c>
      <c r="F75" s="31">
        <v>25.709900000000001</v>
      </c>
      <c r="G75" s="30">
        <f t="shared" si="14"/>
        <v>0.66666666666666663</v>
      </c>
      <c r="H75" s="30">
        <v>0.77790000000000004</v>
      </c>
      <c r="I75" s="30">
        <v>0.73499999999999999</v>
      </c>
      <c r="J75" s="30">
        <v>3.7696999999999998</v>
      </c>
      <c r="K75" s="38">
        <v>0.77790000000000004</v>
      </c>
      <c r="L75" s="30">
        <v>0.88360000000000005</v>
      </c>
      <c r="M75" s="31">
        <v>9</v>
      </c>
      <c r="N75" s="31">
        <v>30</v>
      </c>
      <c r="O75" s="30">
        <f t="shared" si="15"/>
        <v>0.3</v>
      </c>
      <c r="P75" s="30">
        <v>0.3</v>
      </c>
      <c r="Q75" s="30">
        <v>0.3</v>
      </c>
      <c r="R75" s="39">
        <v>1.0779000000000001</v>
      </c>
      <c r="S75" s="30">
        <v>0.97199999999999998</v>
      </c>
      <c r="T75" s="35">
        <f t="shared" si="16"/>
        <v>0.14300333333333329</v>
      </c>
      <c r="U75" s="35">
        <f t="shared" si="17"/>
        <v>0.16685000000000016</v>
      </c>
      <c r="V75" s="35">
        <f t="shared" si="18"/>
        <v>0.85699666666666674</v>
      </c>
      <c r="W75" s="40">
        <f t="shared" si="19"/>
        <v>4.2900999999999989</v>
      </c>
      <c r="X75" s="4" t="str">
        <f t="shared" si="20"/>
        <v>OK</v>
      </c>
      <c r="Y75" s="30">
        <v>0.73499999999999999</v>
      </c>
    </row>
    <row r="76" spans="1:25" x14ac:dyDescent="0.3">
      <c r="A76" s="36" t="s">
        <v>400</v>
      </c>
      <c r="B76" s="16" t="s">
        <v>293</v>
      </c>
      <c r="C76" s="4" t="s">
        <v>188</v>
      </c>
      <c r="D76" s="37">
        <v>0.7</v>
      </c>
      <c r="E76" s="31">
        <v>0</v>
      </c>
      <c r="F76" s="31">
        <v>0</v>
      </c>
      <c r="G76" s="30">
        <f t="shared" si="14"/>
        <v>0</v>
      </c>
      <c r="H76" s="30">
        <v>0</v>
      </c>
      <c r="I76" s="30">
        <v>0</v>
      </c>
      <c r="J76" s="30">
        <v>1.7994000000000001</v>
      </c>
      <c r="K76" s="38">
        <v>0.31430000000000002</v>
      </c>
      <c r="L76" s="30">
        <v>0.20430000000000001</v>
      </c>
      <c r="M76" s="31">
        <v>4</v>
      </c>
      <c r="N76" s="31">
        <v>30</v>
      </c>
      <c r="O76" s="30">
        <f t="shared" si="15"/>
        <v>0.13333333333333333</v>
      </c>
      <c r="P76" s="30">
        <v>0.1333</v>
      </c>
      <c r="Q76" s="30">
        <v>0.1333</v>
      </c>
      <c r="R76" s="39">
        <v>0.4476</v>
      </c>
      <c r="S76" s="30">
        <v>0.27229999999999999</v>
      </c>
      <c r="T76" s="35">
        <f t="shared" si="16"/>
        <v>1</v>
      </c>
      <c r="U76" s="35">
        <f t="shared" si="17"/>
        <v>0</v>
      </c>
      <c r="V76" s="35">
        <f t="shared" si="18"/>
        <v>0</v>
      </c>
      <c r="W76" s="40">
        <f t="shared" si="19"/>
        <v>30</v>
      </c>
      <c r="X76" s="4" t="str">
        <f t="shared" si="20"/>
        <v>CENSORED - REVIEW ACTIVE DAY</v>
      </c>
      <c r="Y76" s="30">
        <v>0.31430000000000002</v>
      </c>
    </row>
    <row r="77" spans="1:25" x14ac:dyDescent="0.3">
      <c r="A77" s="36" t="s">
        <v>403</v>
      </c>
      <c r="B77" s="16" t="s">
        <v>404</v>
      </c>
      <c r="C77" s="4" t="s">
        <v>179</v>
      </c>
      <c r="D77" s="37">
        <v>0.62</v>
      </c>
      <c r="E77" s="31">
        <v>81</v>
      </c>
      <c r="F77" s="31">
        <v>30</v>
      </c>
      <c r="G77" s="30">
        <f t="shared" si="14"/>
        <v>2.7</v>
      </c>
      <c r="H77" s="30">
        <v>2.7</v>
      </c>
      <c r="I77" s="30">
        <v>2.6051000000000002</v>
      </c>
      <c r="J77" s="30">
        <v>2.7</v>
      </c>
      <c r="K77" s="38">
        <v>2.7</v>
      </c>
      <c r="L77" s="30">
        <v>1.8360000000000001</v>
      </c>
      <c r="M77" s="31">
        <v>38</v>
      </c>
      <c r="N77" s="31">
        <v>25.8292</v>
      </c>
      <c r="O77" s="30">
        <f t="shared" si="15"/>
        <v>1.2666666666666666</v>
      </c>
      <c r="P77" s="30">
        <v>1.4712000000000001</v>
      </c>
      <c r="Q77" s="30">
        <v>1.4712000000000001</v>
      </c>
      <c r="R77" s="39">
        <v>4.1711999999999998</v>
      </c>
      <c r="S77" s="30">
        <v>2.0909</v>
      </c>
      <c r="T77" s="35">
        <f t="shared" si="16"/>
        <v>0</v>
      </c>
      <c r="U77" s="35">
        <f t="shared" si="17"/>
        <v>0</v>
      </c>
      <c r="V77" s="35">
        <f t="shared" si="18"/>
        <v>1</v>
      </c>
      <c r="W77" s="40">
        <f t="shared" si="19"/>
        <v>0</v>
      </c>
      <c r="X77" s="4" t="str">
        <f t="shared" si="20"/>
        <v>OK</v>
      </c>
      <c r="Y77" s="30">
        <v>2.6051000000000002</v>
      </c>
    </row>
    <row r="78" spans="1:25" x14ac:dyDescent="0.3">
      <c r="A78" s="36" t="s">
        <v>409</v>
      </c>
      <c r="B78" s="16" t="s">
        <v>404</v>
      </c>
      <c r="C78" s="4" t="s">
        <v>188</v>
      </c>
      <c r="D78" s="37">
        <v>0.62</v>
      </c>
      <c r="E78" s="31">
        <v>27</v>
      </c>
      <c r="F78" s="31">
        <v>30</v>
      </c>
      <c r="G78" s="30">
        <f t="shared" si="14"/>
        <v>0.9</v>
      </c>
      <c r="H78" s="30">
        <v>0.9</v>
      </c>
      <c r="I78" s="30">
        <v>0.81110000000000004</v>
      </c>
      <c r="J78" s="30">
        <v>0.9</v>
      </c>
      <c r="K78" s="38">
        <v>0.9</v>
      </c>
      <c r="L78" s="30">
        <v>1.0766</v>
      </c>
      <c r="M78" s="31">
        <v>16</v>
      </c>
      <c r="N78" s="31">
        <v>30</v>
      </c>
      <c r="O78" s="30">
        <f t="shared" si="15"/>
        <v>0.53333333333333333</v>
      </c>
      <c r="P78" s="30">
        <v>0.5333</v>
      </c>
      <c r="Q78" s="30">
        <v>0.5333</v>
      </c>
      <c r="R78" s="39">
        <v>1.4333</v>
      </c>
      <c r="S78" s="30">
        <v>1.2951999999999999</v>
      </c>
      <c r="T78" s="35">
        <f t="shared" si="16"/>
        <v>0</v>
      </c>
      <c r="U78" s="35">
        <f t="shared" si="17"/>
        <v>0</v>
      </c>
      <c r="V78" s="35">
        <f t="shared" si="18"/>
        <v>1</v>
      </c>
      <c r="W78" s="40">
        <f t="shared" si="19"/>
        <v>0</v>
      </c>
      <c r="X78" s="4" t="str">
        <f t="shared" si="20"/>
        <v>OK</v>
      </c>
      <c r="Y78" s="30">
        <v>0.81110000000000004</v>
      </c>
    </row>
    <row r="79" spans="1:25" x14ac:dyDescent="0.3">
      <c r="A79" s="36" t="s">
        <v>412</v>
      </c>
      <c r="B79" s="16" t="s">
        <v>404</v>
      </c>
      <c r="C79" s="4" t="s">
        <v>188</v>
      </c>
      <c r="D79" s="37">
        <v>0.62</v>
      </c>
      <c r="E79" s="31">
        <v>32</v>
      </c>
      <c r="F79" s="31">
        <v>30</v>
      </c>
      <c r="G79" s="30">
        <f t="shared" si="14"/>
        <v>1.0666666666666667</v>
      </c>
      <c r="H79" s="30">
        <v>1.0667</v>
      </c>
      <c r="I79" s="30">
        <v>0.9667</v>
      </c>
      <c r="J79" s="30">
        <v>1.0667</v>
      </c>
      <c r="K79" s="38">
        <v>1.0667</v>
      </c>
      <c r="L79" s="30">
        <v>1.44</v>
      </c>
      <c r="M79" s="31">
        <v>20</v>
      </c>
      <c r="N79" s="31">
        <v>30</v>
      </c>
      <c r="O79" s="30">
        <f t="shared" si="15"/>
        <v>0.66666666666666663</v>
      </c>
      <c r="P79" s="30">
        <v>0.66669999999999996</v>
      </c>
      <c r="Q79" s="30">
        <v>0.66669999999999996</v>
      </c>
      <c r="R79" s="39">
        <v>1.7334000000000001</v>
      </c>
      <c r="S79" s="30">
        <v>1.6980999999999999</v>
      </c>
      <c r="T79" s="35">
        <f t="shared" si="16"/>
        <v>0</v>
      </c>
      <c r="U79" s="35">
        <f t="shared" si="17"/>
        <v>3.1249999999927169E-5</v>
      </c>
      <c r="V79" s="35">
        <f t="shared" si="18"/>
        <v>1</v>
      </c>
      <c r="W79" s="40">
        <f t="shared" si="19"/>
        <v>0</v>
      </c>
      <c r="X79" s="4" t="str">
        <f t="shared" si="20"/>
        <v>OK</v>
      </c>
      <c r="Y79" s="30">
        <v>0.9667</v>
      </c>
    </row>
    <row r="80" spans="1:25" x14ac:dyDescent="0.3">
      <c r="A80" s="36" t="s">
        <v>415</v>
      </c>
      <c r="B80" s="16" t="s">
        <v>404</v>
      </c>
      <c r="C80" s="4" t="s">
        <v>188</v>
      </c>
      <c r="D80" s="37">
        <v>0.62</v>
      </c>
      <c r="E80" s="31">
        <v>19</v>
      </c>
      <c r="F80" s="31">
        <v>30</v>
      </c>
      <c r="G80" s="30">
        <f t="shared" si="14"/>
        <v>0.6333333333333333</v>
      </c>
      <c r="H80" s="30">
        <v>0.63329999999999997</v>
      </c>
      <c r="I80" s="30">
        <v>0.51390000000000002</v>
      </c>
      <c r="J80" s="30">
        <v>0.63329999999999997</v>
      </c>
      <c r="K80" s="38">
        <v>0.63329999999999997</v>
      </c>
      <c r="L80" s="30">
        <v>0.75860000000000005</v>
      </c>
      <c r="M80" s="31">
        <v>11</v>
      </c>
      <c r="N80" s="31">
        <v>30</v>
      </c>
      <c r="O80" s="30">
        <f t="shared" si="15"/>
        <v>0.36666666666666664</v>
      </c>
      <c r="P80" s="30">
        <v>0.36670000000000003</v>
      </c>
      <c r="Q80" s="30">
        <v>0.36670000000000003</v>
      </c>
      <c r="R80" s="39">
        <v>1</v>
      </c>
      <c r="S80" s="30">
        <v>0.90580000000000005</v>
      </c>
      <c r="T80" s="35">
        <f t="shared" si="16"/>
        <v>0</v>
      </c>
      <c r="U80" s="35">
        <f t="shared" si="17"/>
        <v>-5.2631578947415214E-5</v>
      </c>
      <c r="V80" s="35">
        <f t="shared" si="18"/>
        <v>1</v>
      </c>
      <c r="W80" s="40">
        <f t="shared" si="19"/>
        <v>0</v>
      </c>
      <c r="X80" s="4" t="str">
        <f t="shared" si="20"/>
        <v>OK</v>
      </c>
      <c r="Y80" s="30">
        <v>0.51390000000000002</v>
      </c>
    </row>
    <row r="81" spans="1:25" x14ac:dyDescent="0.3">
      <c r="A81" s="36" t="s">
        <v>418</v>
      </c>
      <c r="B81" s="16" t="s">
        <v>404</v>
      </c>
      <c r="C81" s="4" t="s">
        <v>188</v>
      </c>
      <c r="D81" s="37">
        <v>0.62</v>
      </c>
      <c r="E81" s="31">
        <v>19</v>
      </c>
      <c r="F81" s="31">
        <v>30</v>
      </c>
      <c r="G81" s="30">
        <f t="shared" si="14"/>
        <v>0.6333333333333333</v>
      </c>
      <c r="H81" s="30">
        <v>0.63329999999999997</v>
      </c>
      <c r="I81" s="30">
        <v>0.63329999999999997</v>
      </c>
      <c r="J81" s="30">
        <v>0.63329999999999997</v>
      </c>
      <c r="K81" s="38">
        <v>0.63329999999999997</v>
      </c>
      <c r="L81" s="30">
        <v>0.69430000000000003</v>
      </c>
      <c r="M81" s="31">
        <v>15</v>
      </c>
      <c r="N81" s="31">
        <v>30</v>
      </c>
      <c r="O81" s="30">
        <f t="shared" si="15"/>
        <v>0.5</v>
      </c>
      <c r="P81" s="30">
        <v>0.5</v>
      </c>
      <c r="Q81" s="30">
        <v>0.5</v>
      </c>
      <c r="R81" s="39">
        <v>1.1333</v>
      </c>
      <c r="S81" s="30">
        <v>0.96830000000000005</v>
      </c>
      <c r="T81" s="35">
        <f t="shared" si="16"/>
        <v>0</v>
      </c>
      <c r="U81" s="35">
        <f t="shared" si="17"/>
        <v>-5.2631578947415214E-5</v>
      </c>
      <c r="V81" s="35">
        <f t="shared" si="18"/>
        <v>1</v>
      </c>
      <c r="W81" s="40">
        <f t="shared" si="19"/>
        <v>0</v>
      </c>
      <c r="X81" s="4" t="str">
        <f t="shared" si="20"/>
        <v>OK</v>
      </c>
      <c r="Y81" s="30">
        <v>0.63329999999999997</v>
      </c>
    </row>
    <row r="82" spans="1:25" x14ac:dyDescent="0.3">
      <c r="A82" s="36" t="s">
        <v>421</v>
      </c>
      <c r="B82" s="16" t="s">
        <v>404</v>
      </c>
      <c r="C82" s="4" t="s">
        <v>188</v>
      </c>
      <c r="D82" s="37">
        <v>0.62</v>
      </c>
      <c r="E82" s="31">
        <v>0</v>
      </c>
      <c r="F82" s="31">
        <v>0</v>
      </c>
      <c r="G82" s="30">
        <f t="shared" si="14"/>
        <v>0</v>
      </c>
      <c r="H82" s="30">
        <v>0</v>
      </c>
      <c r="I82" s="30">
        <v>0</v>
      </c>
      <c r="J82" s="30">
        <v>0.80189999999999995</v>
      </c>
      <c r="K82" s="38">
        <v>0.38300000000000001</v>
      </c>
      <c r="L82" s="30">
        <v>0.24890000000000001</v>
      </c>
      <c r="M82" s="31">
        <v>2</v>
      </c>
      <c r="N82" s="31">
        <v>30</v>
      </c>
      <c r="O82" s="30">
        <f t="shared" si="15"/>
        <v>6.6666666666666666E-2</v>
      </c>
      <c r="P82" s="30">
        <v>6.6699999999999995E-2</v>
      </c>
      <c r="Q82" s="30">
        <v>6.6699999999999995E-2</v>
      </c>
      <c r="R82" s="39">
        <v>0.44969999999999999</v>
      </c>
      <c r="S82" s="30">
        <v>0.26469999999999999</v>
      </c>
      <c r="T82" s="35">
        <f t="shared" si="16"/>
        <v>1</v>
      </c>
      <c r="U82" s="35">
        <f t="shared" si="17"/>
        <v>0</v>
      </c>
      <c r="V82" s="35">
        <f t="shared" si="18"/>
        <v>0</v>
      </c>
      <c r="W82" s="40">
        <f t="shared" si="19"/>
        <v>30</v>
      </c>
      <c r="X82" s="4" t="str">
        <f t="shared" si="20"/>
        <v>CENSORED - REVIEW ACTIVE DAY</v>
      </c>
      <c r="Y82" s="30">
        <v>0.38300000000000001</v>
      </c>
    </row>
    <row r="83" spans="1:25" x14ac:dyDescent="0.3">
      <c r="A83" s="36" t="s">
        <v>424</v>
      </c>
      <c r="B83" s="16" t="s">
        <v>404</v>
      </c>
      <c r="C83" s="4" t="s">
        <v>188</v>
      </c>
      <c r="D83" s="37">
        <v>0.62</v>
      </c>
      <c r="E83" s="31">
        <v>17</v>
      </c>
      <c r="F83" s="31">
        <v>30</v>
      </c>
      <c r="G83" s="30">
        <f t="shared" si="14"/>
        <v>0.56666666666666665</v>
      </c>
      <c r="H83" s="30">
        <v>0.56669999999999998</v>
      </c>
      <c r="I83" s="30">
        <v>0.62219999999999998</v>
      </c>
      <c r="J83" s="30">
        <v>0.56669999999999998</v>
      </c>
      <c r="K83" s="38">
        <v>0.56669999999999998</v>
      </c>
      <c r="L83" s="30">
        <v>0.76500000000000001</v>
      </c>
      <c r="M83" s="31">
        <v>8</v>
      </c>
      <c r="N83" s="31">
        <v>30</v>
      </c>
      <c r="O83" s="30">
        <f t="shared" si="15"/>
        <v>0.26666666666666666</v>
      </c>
      <c r="P83" s="30">
        <v>0.26669999999999999</v>
      </c>
      <c r="Q83" s="30">
        <v>0.26669999999999999</v>
      </c>
      <c r="R83" s="39">
        <v>0.83340000000000003</v>
      </c>
      <c r="S83" s="30">
        <v>0.84550000000000003</v>
      </c>
      <c r="T83" s="35">
        <f t="shared" si="16"/>
        <v>0</v>
      </c>
      <c r="U83" s="35">
        <f t="shared" si="17"/>
        <v>5.8823529411666797E-5</v>
      </c>
      <c r="V83" s="35">
        <f t="shared" si="18"/>
        <v>1</v>
      </c>
      <c r="W83" s="40">
        <f t="shared" si="19"/>
        <v>0</v>
      </c>
      <c r="X83" s="4" t="str">
        <f t="shared" si="20"/>
        <v>OK</v>
      </c>
      <c r="Y83" s="30">
        <v>0.62219999999999998</v>
      </c>
    </row>
    <row r="84" spans="1:25" x14ac:dyDescent="0.3">
      <c r="A84" s="36" t="s">
        <v>427</v>
      </c>
      <c r="B84" s="16" t="s">
        <v>404</v>
      </c>
      <c r="C84" s="4" t="s">
        <v>188</v>
      </c>
      <c r="D84" s="37">
        <v>0.62</v>
      </c>
      <c r="E84" s="31">
        <v>0</v>
      </c>
      <c r="F84" s="31">
        <v>0</v>
      </c>
      <c r="G84" s="30">
        <f t="shared" si="14"/>
        <v>0</v>
      </c>
      <c r="H84" s="30">
        <v>0</v>
      </c>
      <c r="I84" s="30">
        <v>0.30719999999999997</v>
      </c>
      <c r="J84" s="30">
        <v>0.63009999999999999</v>
      </c>
      <c r="K84" s="38">
        <v>0.30719999999999997</v>
      </c>
      <c r="L84" s="30">
        <v>0.41470000000000001</v>
      </c>
      <c r="M84" s="31">
        <v>4</v>
      </c>
      <c r="N84" s="31">
        <v>30</v>
      </c>
      <c r="O84" s="30">
        <f t="shared" si="15"/>
        <v>0.13333333333333333</v>
      </c>
      <c r="P84" s="30">
        <v>0.1333</v>
      </c>
      <c r="Q84" s="30">
        <v>0.1333</v>
      </c>
      <c r="R84" s="39">
        <v>0.4405</v>
      </c>
      <c r="S84" s="30">
        <v>0.4521</v>
      </c>
      <c r="T84" s="35">
        <f t="shared" si="16"/>
        <v>1</v>
      </c>
      <c r="U84" s="35">
        <f t="shared" si="17"/>
        <v>0</v>
      </c>
      <c r="V84" s="35">
        <f t="shared" si="18"/>
        <v>0</v>
      </c>
      <c r="W84" s="40">
        <f t="shared" si="19"/>
        <v>30</v>
      </c>
      <c r="X84" s="4" t="str">
        <f t="shared" si="20"/>
        <v>CENSORED - REVIEW ACTIVE DAY</v>
      </c>
      <c r="Y84" s="30">
        <v>0.30719999999999997</v>
      </c>
    </row>
    <row r="85" spans="1:25" x14ac:dyDescent="0.3">
      <c r="A85" s="36" t="s">
        <v>430</v>
      </c>
      <c r="B85" s="16" t="s">
        <v>404</v>
      </c>
      <c r="C85" s="4" t="s">
        <v>188</v>
      </c>
      <c r="D85" s="37">
        <v>0.62</v>
      </c>
      <c r="E85" s="31">
        <v>0</v>
      </c>
      <c r="F85" s="31">
        <v>0</v>
      </c>
      <c r="G85" s="30">
        <f t="shared" si="14"/>
        <v>0</v>
      </c>
      <c r="H85" s="30">
        <v>0</v>
      </c>
      <c r="I85" s="30">
        <v>0</v>
      </c>
      <c r="J85" s="30">
        <v>0.9738</v>
      </c>
      <c r="K85" s="38">
        <v>0.34139999999999998</v>
      </c>
      <c r="L85" s="30">
        <v>0.22189999999999999</v>
      </c>
      <c r="M85" s="31">
        <v>13</v>
      </c>
      <c r="N85" s="31">
        <v>30</v>
      </c>
      <c r="O85" s="30">
        <f t="shared" si="15"/>
        <v>0.43333333333333335</v>
      </c>
      <c r="P85" s="30">
        <v>0.43330000000000002</v>
      </c>
      <c r="Q85" s="30">
        <v>0.43330000000000002</v>
      </c>
      <c r="R85" s="39">
        <v>0.77470000000000006</v>
      </c>
      <c r="S85" s="30">
        <v>0.62570000000000003</v>
      </c>
      <c r="T85" s="35">
        <f t="shared" si="16"/>
        <v>1</v>
      </c>
      <c r="U85" s="35">
        <f t="shared" si="17"/>
        <v>0</v>
      </c>
      <c r="V85" s="35">
        <f t="shared" si="18"/>
        <v>0</v>
      </c>
      <c r="W85" s="40">
        <f t="shared" si="19"/>
        <v>30</v>
      </c>
      <c r="X85" s="4" t="str">
        <f t="shared" si="20"/>
        <v>CENSORED - REVIEW ACTIVE DAY</v>
      </c>
      <c r="Y85" s="30">
        <v>0.34139999999999998</v>
      </c>
    </row>
    <row r="86" spans="1:25" x14ac:dyDescent="0.3">
      <c r="A86" s="36" t="s">
        <v>433</v>
      </c>
      <c r="B86" s="16" t="s">
        <v>404</v>
      </c>
      <c r="C86" s="4" t="s">
        <v>188</v>
      </c>
      <c r="D86" s="37">
        <v>0.62</v>
      </c>
      <c r="E86" s="31">
        <v>0</v>
      </c>
      <c r="F86" s="31">
        <v>0</v>
      </c>
      <c r="G86" s="30">
        <f t="shared" si="14"/>
        <v>0</v>
      </c>
      <c r="H86" s="30">
        <v>0</v>
      </c>
      <c r="I86" s="30">
        <v>0</v>
      </c>
      <c r="J86" s="30">
        <v>0.45829999999999999</v>
      </c>
      <c r="K86" s="38">
        <v>0.20610000000000001</v>
      </c>
      <c r="L86" s="30">
        <v>0.13400000000000001</v>
      </c>
      <c r="M86" s="31">
        <v>3</v>
      </c>
      <c r="N86" s="31">
        <v>30</v>
      </c>
      <c r="O86" s="30">
        <f t="shared" si="15"/>
        <v>0.1</v>
      </c>
      <c r="P86" s="30">
        <v>0.1</v>
      </c>
      <c r="Q86" s="30">
        <v>0.1</v>
      </c>
      <c r="R86" s="39">
        <v>0.30609999999999998</v>
      </c>
      <c r="S86" s="30">
        <v>0.19020000000000001</v>
      </c>
      <c r="T86" s="35">
        <f t="shared" si="16"/>
        <v>1</v>
      </c>
      <c r="U86" s="35">
        <f t="shared" si="17"/>
        <v>0</v>
      </c>
      <c r="V86" s="35">
        <f t="shared" si="18"/>
        <v>0</v>
      </c>
      <c r="W86" s="40">
        <f t="shared" si="19"/>
        <v>30</v>
      </c>
      <c r="X86" s="4" t="str">
        <f t="shared" si="20"/>
        <v>CENSORED - REVIEW ACTIVE DAY</v>
      </c>
      <c r="Y86" s="30">
        <v>0.20610000000000001</v>
      </c>
    </row>
    <row r="87" spans="1:25" x14ac:dyDescent="0.3">
      <c r="A87" s="36" t="s">
        <v>436</v>
      </c>
      <c r="B87" s="16" t="s">
        <v>404</v>
      </c>
      <c r="C87" s="4" t="s">
        <v>188</v>
      </c>
      <c r="D87" s="37">
        <v>0.62</v>
      </c>
      <c r="E87" s="31">
        <v>7</v>
      </c>
      <c r="F87" s="31">
        <v>30</v>
      </c>
      <c r="G87" s="30">
        <f t="shared" si="14"/>
        <v>0.23333333333333334</v>
      </c>
      <c r="H87" s="30">
        <v>0.23330000000000001</v>
      </c>
      <c r="I87" s="30">
        <v>0.24440000000000001</v>
      </c>
      <c r="J87" s="30">
        <v>0.23330000000000001</v>
      </c>
      <c r="K87" s="38">
        <v>0.23330000000000001</v>
      </c>
      <c r="L87" s="30">
        <v>0.315</v>
      </c>
      <c r="M87" s="31">
        <v>5</v>
      </c>
      <c r="N87" s="31">
        <v>30</v>
      </c>
      <c r="O87" s="30">
        <f t="shared" si="15"/>
        <v>0.16666666666666666</v>
      </c>
      <c r="P87" s="30">
        <v>0.16669999999999999</v>
      </c>
      <c r="Q87" s="30">
        <v>0.16669999999999999</v>
      </c>
      <c r="R87" s="39">
        <v>0.4</v>
      </c>
      <c r="S87" s="30">
        <v>0.3871</v>
      </c>
      <c r="T87" s="35">
        <f t="shared" si="16"/>
        <v>0</v>
      </c>
      <c r="U87" s="35">
        <f t="shared" si="17"/>
        <v>-1.4285714285711126E-4</v>
      </c>
      <c r="V87" s="35">
        <f t="shared" si="18"/>
        <v>1</v>
      </c>
      <c r="W87" s="40">
        <f t="shared" si="19"/>
        <v>0</v>
      </c>
      <c r="X87" s="4" t="str">
        <f t="shared" si="20"/>
        <v>OK</v>
      </c>
      <c r="Y87" s="30">
        <v>0.24440000000000001</v>
      </c>
    </row>
    <row r="88" spans="1:25" x14ac:dyDescent="0.3">
      <c r="A88" s="36" t="s">
        <v>439</v>
      </c>
      <c r="B88" s="16" t="s">
        <v>404</v>
      </c>
      <c r="C88" s="4" t="s">
        <v>188</v>
      </c>
      <c r="D88" s="37">
        <v>0.62</v>
      </c>
      <c r="E88" s="31">
        <v>0</v>
      </c>
      <c r="F88" s="31">
        <v>0</v>
      </c>
      <c r="G88" s="30">
        <f t="shared" si="14"/>
        <v>0</v>
      </c>
      <c r="H88" s="30">
        <v>0</v>
      </c>
      <c r="I88" s="30">
        <v>0</v>
      </c>
      <c r="J88" s="30">
        <v>0.28639999999999999</v>
      </c>
      <c r="K88" s="38">
        <v>0.10730000000000001</v>
      </c>
      <c r="L88" s="30">
        <v>6.9699999999999998E-2</v>
      </c>
      <c r="M88" s="31">
        <v>3</v>
      </c>
      <c r="N88" s="31">
        <v>30</v>
      </c>
      <c r="O88" s="30">
        <f t="shared" si="15"/>
        <v>0.1</v>
      </c>
      <c r="P88" s="30">
        <v>0.1</v>
      </c>
      <c r="Q88" s="30">
        <v>0.1</v>
      </c>
      <c r="R88" s="39">
        <v>0.20730000000000001</v>
      </c>
      <c r="S88" s="30">
        <v>0.15190000000000001</v>
      </c>
      <c r="T88" s="35">
        <f t="shared" si="16"/>
        <v>1</v>
      </c>
      <c r="U88" s="35">
        <f t="shared" si="17"/>
        <v>0</v>
      </c>
      <c r="V88" s="35">
        <f t="shared" si="18"/>
        <v>0</v>
      </c>
      <c r="W88" s="40">
        <f t="shared" si="19"/>
        <v>30</v>
      </c>
      <c r="X88" s="4" t="str">
        <f t="shared" si="20"/>
        <v>CENSORED - REVIEW ACTIVE DAY</v>
      </c>
      <c r="Y88" s="30">
        <v>0.10730000000000001</v>
      </c>
    </row>
    <row r="89" spans="1:25" x14ac:dyDescent="0.3">
      <c r="A89" s="36" t="s">
        <v>442</v>
      </c>
      <c r="B89" s="16" t="s">
        <v>404</v>
      </c>
      <c r="C89" s="4" t="s">
        <v>221</v>
      </c>
      <c r="D89" s="37">
        <v>0.62</v>
      </c>
      <c r="E89" s="31">
        <v>927</v>
      </c>
      <c r="F89" s="31">
        <v>30</v>
      </c>
      <c r="G89" s="30">
        <f t="shared" si="14"/>
        <v>30.9</v>
      </c>
      <c r="H89" s="30">
        <v>30.9</v>
      </c>
      <c r="I89" s="30">
        <v>32.2333</v>
      </c>
      <c r="J89" s="30">
        <v>30.9</v>
      </c>
      <c r="K89" s="38">
        <v>30.9</v>
      </c>
      <c r="L89" s="30">
        <v>9.1739999999999995</v>
      </c>
      <c r="M89" s="31">
        <v>0</v>
      </c>
      <c r="N89" s="31">
        <v>0</v>
      </c>
      <c r="O89" s="30">
        <f t="shared" si="15"/>
        <v>0</v>
      </c>
      <c r="P89" s="30">
        <v>0</v>
      </c>
      <c r="Q89" s="30">
        <v>24.0717</v>
      </c>
      <c r="R89" s="39">
        <v>54.971699999999998</v>
      </c>
      <c r="S89" s="30">
        <v>11.7257</v>
      </c>
      <c r="T89" s="35">
        <f t="shared" si="16"/>
        <v>0</v>
      </c>
      <c r="U89" s="35">
        <f t="shared" si="17"/>
        <v>0</v>
      </c>
      <c r="V89" s="35">
        <f t="shared" si="18"/>
        <v>1</v>
      </c>
      <c r="W89" s="40">
        <f t="shared" si="19"/>
        <v>0</v>
      </c>
      <c r="X89" s="4" t="str">
        <f t="shared" si="20"/>
        <v>OK</v>
      </c>
      <c r="Y89" s="30">
        <v>32.2333</v>
      </c>
    </row>
    <row r="90" spans="1:25" x14ac:dyDescent="0.3">
      <c r="A90" s="36" t="s">
        <v>445</v>
      </c>
      <c r="B90" s="16" t="s">
        <v>404</v>
      </c>
      <c r="C90" s="4" t="s">
        <v>172</v>
      </c>
      <c r="D90" s="37">
        <v>0.62</v>
      </c>
      <c r="E90" s="31">
        <v>535</v>
      </c>
      <c r="F90" s="31">
        <v>29</v>
      </c>
      <c r="G90" s="30">
        <f t="shared" si="14"/>
        <v>17.833333333333332</v>
      </c>
      <c r="H90" s="30">
        <v>18.4483</v>
      </c>
      <c r="I90" s="30">
        <v>18.302499999999998</v>
      </c>
      <c r="J90" s="30">
        <v>6.6936</v>
      </c>
      <c r="K90" s="38">
        <v>18.4483</v>
      </c>
      <c r="L90" s="30">
        <v>8.2446999999999999</v>
      </c>
      <c r="M90" s="31">
        <v>134</v>
      </c>
      <c r="N90" s="31">
        <v>15.4794</v>
      </c>
      <c r="O90" s="30">
        <f t="shared" si="15"/>
        <v>4.4666666666666668</v>
      </c>
      <c r="P90" s="30">
        <v>8.6567000000000007</v>
      </c>
      <c r="Q90" s="30">
        <v>8.6567000000000007</v>
      </c>
      <c r="R90" s="39">
        <v>27.105</v>
      </c>
      <c r="S90" s="30">
        <v>9.1187000000000005</v>
      </c>
      <c r="T90" s="35">
        <f t="shared" si="16"/>
        <v>3.3333333333333333E-2</v>
      </c>
      <c r="U90" s="35">
        <f t="shared" si="17"/>
        <v>3.4484112149532731E-2</v>
      </c>
      <c r="V90" s="35">
        <f t="shared" si="18"/>
        <v>0.96666666666666667</v>
      </c>
      <c r="W90" s="40">
        <f t="shared" si="19"/>
        <v>1</v>
      </c>
      <c r="X90" s="4" t="str">
        <f t="shared" si="20"/>
        <v>OK</v>
      </c>
      <c r="Y90" s="30">
        <v>18.302499999999998</v>
      </c>
    </row>
    <row r="91" spans="1:25" x14ac:dyDescent="0.3">
      <c r="A91" s="36" t="s">
        <v>448</v>
      </c>
      <c r="B91" s="16" t="s">
        <v>404</v>
      </c>
      <c r="C91" s="4" t="s">
        <v>221</v>
      </c>
      <c r="D91" s="37">
        <v>0.62</v>
      </c>
      <c r="E91" s="31">
        <v>186</v>
      </c>
      <c r="F91" s="31">
        <v>6</v>
      </c>
      <c r="G91" s="30">
        <f t="shared" si="14"/>
        <v>6.2</v>
      </c>
      <c r="H91" s="30">
        <v>31</v>
      </c>
      <c r="I91" s="30">
        <v>29.919899999999998</v>
      </c>
      <c r="J91" s="30">
        <v>12.612299999999999</v>
      </c>
      <c r="K91" s="38">
        <v>31</v>
      </c>
      <c r="L91" s="30">
        <v>8.5542999999999996</v>
      </c>
      <c r="M91" s="31">
        <v>410</v>
      </c>
      <c r="N91" s="31">
        <v>24</v>
      </c>
      <c r="O91" s="30">
        <f t="shared" si="15"/>
        <v>13.666666666666666</v>
      </c>
      <c r="P91" s="30">
        <v>17.083300000000001</v>
      </c>
      <c r="Q91" s="30">
        <v>17.083300000000001</v>
      </c>
      <c r="R91" s="39">
        <v>48.083300000000001</v>
      </c>
      <c r="S91" s="30">
        <v>9.8925999999999998</v>
      </c>
      <c r="T91" s="35">
        <f t="shared" si="16"/>
        <v>0.8</v>
      </c>
      <c r="U91" s="35">
        <f t="shared" si="17"/>
        <v>4</v>
      </c>
      <c r="V91" s="35">
        <f t="shared" si="18"/>
        <v>0.2</v>
      </c>
      <c r="W91" s="40">
        <f t="shared" si="19"/>
        <v>24</v>
      </c>
      <c r="X91" s="4" t="str">
        <f t="shared" si="20"/>
        <v>CENSORED - REVIEW ACTIVE DAY</v>
      </c>
      <c r="Y91" s="30">
        <v>29.919899999999998</v>
      </c>
    </row>
    <row r="92" spans="1:25" x14ac:dyDescent="0.3">
      <c r="A92" s="36" t="s">
        <v>451</v>
      </c>
      <c r="B92" s="16" t="s">
        <v>404</v>
      </c>
      <c r="C92" s="4" t="s">
        <v>184</v>
      </c>
      <c r="D92" s="37">
        <v>0.62</v>
      </c>
      <c r="E92" s="31">
        <v>58</v>
      </c>
      <c r="F92" s="31">
        <v>30</v>
      </c>
      <c r="G92" s="30">
        <f t="shared" si="14"/>
        <v>1.9333333333333333</v>
      </c>
      <c r="H92" s="30">
        <v>1.9333</v>
      </c>
      <c r="I92" s="30">
        <v>1.9778</v>
      </c>
      <c r="J92" s="30">
        <v>1.9333</v>
      </c>
      <c r="K92" s="38">
        <v>1.9333</v>
      </c>
      <c r="L92" s="30">
        <v>0.9667</v>
      </c>
      <c r="M92" s="31">
        <v>37</v>
      </c>
      <c r="N92" s="31">
        <v>29</v>
      </c>
      <c r="O92" s="30">
        <f t="shared" si="15"/>
        <v>1.2333333333333334</v>
      </c>
      <c r="P92" s="30">
        <v>1.2759</v>
      </c>
      <c r="Q92" s="30">
        <v>1.2759</v>
      </c>
      <c r="R92" s="39">
        <v>3.2092000000000001</v>
      </c>
      <c r="S92" s="30">
        <v>1.1581999999999999</v>
      </c>
      <c r="T92" s="35">
        <f t="shared" si="16"/>
        <v>0</v>
      </c>
      <c r="U92" s="35">
        <f t="shared" si="17"/>
        <v>-1.724137931036207E-5</v>
      </c>
      <c r="V92" s="35">
        <f t="shared" si="18"/>
        <v>1</v>
      </c>
      <c r="W92" s="40">
        <f t="shared" si="19"/>
        <v>0</v>
      </c>
      <c r="X92" s="4" t="str">
        <f t="shared" si="20"/>
        <v>OK</v>
      </c>
      <c r="Y92" s="30">
        <v>1.9778</v>
      </c>
    </row>
    <row r="93" spans="1:25" x14ac:dyDescent="0.3">
      <c r="A93" s="36" t="s">
        <v>454</v>
      </c>
      <c r="B93" s="16" t="s">
        <v>404</v>
      </c>
      <c r="C93" s="4" t="s">
        <v>184</v>
      </c>
      <c r="D93" s="37">
        <v>0.62</v>
      </c>
      <c r="E93" s="31">
        <v>75</v>
      </c>
      <c r="F93" s="31">
        <v>30</v>
      </c>
      <c r="G93" s="30">
        <f t="shared" si="14"/>
        <v>2.5</v>
      </c>
      <c r="H93" s="30">
        <v>2.5</v>
      </c>
      <c r="I93" s="30">
        <v>2.2111000000000001</v>
      </c>
      <c r="J93" s="30">
        <v>2.5</v>
      </c>
      <c r="K93" s="38">
        <v>2.5</v>
      </c>
      <c r="L93" s="30">
        <v>1.25</v>
      </c>
      <c r="M93" s="31">
        <v>41</v>
      </c>
      <c r="N93" s="31">
        <v>30</v>
      </c>
      <c r="O93" s="30">
        <f t="shared" si="15"/>
        <v>1.3666666666666667</v>
      </c>
      <c r="P93" s="30">
        <v>1.3667</v>
      </c>
      <c r="Q93" s="30">
        <v>1.3667</v>
      </c>
      <c r="R93" s="39">
        <v>3.8666999999999998</v>
      </c>
      <c r="S93" s="30">
        <v>1.4246000000000001</v>
      </c>
      <c r="T93" s="35">
        <f t="shared" si="16"/>
        <v>0</v>
      </c>
      <c r="U93" s="35">
        <f t="shared" si="17"/>
        <v>0</v>
      </c>
      <c r="V93" s="35">
        <f t="shared" si="18"/>
        <v>1</v>
      </c>
      <c r="W93" s="40">
        <f t="shared" si="19"/>
        <v>0</v>
      </c>
      <c r="X93" s="4" t="str">
        <f t="shared" si="20"/>
        <v>OK</v>
      </c>
      <c r="Y93" s="30">
        <v>2.2111000000000001</v>
      </c>
    </row>
    <row r="94" spans="1:25" x14ac:dyDescent="0.3">
      <c r="A94" s="36" t="s">
        <v>457</v>
      </c>
      <c r="B94" s="16" t="s">
        <v>404</v>
      </c>
      <c r="C94" s="4" t="s">
        <v>188</v>
      </c>
      <c r="D94" s="37">
        <v>0.62</v>
      </c>
      <c r="E94" s="31">
        <v>40</v>
      </c>
      <c r="F94" s="31">
        <v>30</v>
      </c>
      <c r="G94" s="30">
        <f t="shared" si="14"/>
        <v>1.3333333333333333</v>
      </c>
      <c r="H94" s="30">
        <v>1.3332999999999999</v>
      </c>
      <c r="I94" s="30">
        <v>1.2741</v>
      </c>
      <c r="J94" s="30">
        <v>1.3332999999999999</v>
      </c>
      <c r="K94" s="38">
        <v>1.3332999999999999</v>
      </c>
      <c r="L94" s="30">
        <v>1.1778999999999999</v>
      </c>
      <c r="M94" s="31">
        <v>25</v>
      </c>
      <c r="N94" s="31">
        <v>30</v>
      </c>
      <c r="O94" s="30">
        <f t="shared" si="15"/>
        <v>0.83333333333333337</v>
      </c>
      <c r="P94" s="30">
        <v>0.83330000000000004</v>
      </c>
      <c r="Q94" s="30">
        <v>0.83330000000000004</v>
      </c>
      <c r="R94" s="39">
        <v>2.1665999999999999</v>
      </c>
      <c r="S94" s="30">
        <v>1.6016999999999999</v>
      </c>
      <c r="T94" s="35">
        <f t="shared" si="16"/>
        <v>0</v>
      </c>
      <c r="U94" s="35">
        <f t="shared" si="17"/>
        <v>-2.4999999999941735E-5</v>
      </c>
      <c r="V94" s="35">
        <f t="shared" si="18"/>
        <v>1</v>
      </c>
      <c r="W94" s="40">
        <f t="shared" si="19"/>
        <v>0</v>
      </c>
      <c r="X94" s="4" t="str">
        <f t="shared" si="20"/>
        <v>OK</v>
      </c>
      <c r="Y94" s="30">
        <v>1.2741</v>
      </c>
    </row>
    <row r="95" spans="1:25" x14ac:dyDescent="0.3">
      <c r="A95" s="36" t="s">
        <v>460</v>
      </c>
      <c r="B95" s="16" t="s">
        <v>404</v>
      </c>
      <c r="C95" s="4" t="s">
        <v>179</v>
      </c>
      <c r="D95" s="37">
        <v>0.62</v>
      </c>
      <c r="E95" s="31">
        <v>41</v>
      </c>
      <c r="F95" s="31">
        <v>13.493399999999999</v>
      </c>
      <c r="G95" s="30">
        <f t="shared" si="14"/>
        <v>1.3666666666666667</v>
      </c>
      <c r="H95" s="30">
        <v>3.0385</v>
      </c>
      <c r="I95" s="30">
        <v>3.2519999999999998</v>
      </c>
      <c r="J95" s="30">
        <v>5.8920000000000003</v>
      </c>
      <c r="K95" s="38">
        <v>3.0385</v>
      </c>
      <c r="L95" s="30">
        <v>2.0661999999999998</v>
      </c>
      <c r="M95" s="31">
        <v>65</v>
      </c>
      <c r="N95" s="31">
        <v>29</v>
      </c>
      <c r="O95" s="30">
        <f t="shared" si="15"/>
        <v>2.1666666666666665</v>
      </c>
      <c r="P95" s="30">
        <v>2.2414000000000001</v>
      </c>
      <c r="Q95" s="30">
        <v>2.2414000000000001</v>
      </c>
      <c r="R95" s="39">
        <v>5.2798999999999996</v>
      </c>
      <c r="S95" s="30">
        <v>2.5674999999999999</v>
      </c>
      <c r="T95" s="35">
        <f t="shared" si="16"/>
        <v>0.55021999999999993</v>
      </c>
      <c r="U95" s="35">
        <f t="shared" si="17"/>
        <v>1.2232926829268291</v>
      </c>
      <c r="V95" s="35">
        <f t="shared" si="18"/>
        <v>0.44977999999999996</v>
      </c>
      <c r="W95" s="40">
        <f t="shared" si="19"/>
        <v>16.506599999999999</v>
      </c>
      <c r="X95" s="4" t="str">
        <f t="shared" si="20"/>
        <v>CENSORED - REVIEW ACTIVE DAY</v>
      </c>
      <c r="Y95" s="30">
        <v>3.2519999999999998</v>
      </c>
    </row>
    <row r="96" spans="1:25" x14ac:dyDescent="0.3">
      <c r="A96" s="36" t="s">
        <v>463</v>
      </c>
      <c r="B96" s="16" t="s">
        <v>404</v>
      </c>
      <c r="C96" s="4" t="s">
        <v>188</v>
      </c>
      <c r="D96" s="37">
        <v>0.62</v>
      </c>
      <c r="E96" s="31">
        <v>24</v>
      </c>
      <c r="F96" s="31">
        <v>30</v>
      </c>
      <c r="G96" s="30">
        <f t="shared" si="14"/>
        <v>0.8</v>
      </c>
      <c r="H96" s="30">
        <v>0.8</v>
      </c>
      <c r="I96" s="30">
        <v>0.76670000000000005</v>
      </c>
      <c r="J96" s="30">
        <v>0.8</v>
      </c>
      <c r="K96" s="38">
        <v>0.8</v>
      </c>
      <c r="L96" s="30">
        <v>1.08</v>
      </c>
      <c r="M96" s="31">
        <v>15</v>
      </c>
      <c r="N96" s="31">
        <v>30</v>
      </c>
      <c r="O96" s="30">
        <f t="shared" si="15"/>
        <v>0.5</v>
      </c>
      <c r="P96" s="30">
        <v>0.5</v>
      </c>
      <c r="Q96" s="30">
        <v>0.5</v>
      </c>
      <c r="R96" s="39">
        <v>1.3</v>
      </c>
      <c r="S96" s="30">
        <v>1.2736000000000001</v>
      </c>
      <c r="T96" s="35">
        <f t="shared" si="16"/>
        <v>0</v>
      </c>
      <c r="U96" s="35">
        <f t="shared" si="17"/>
        <v>0</v>
      </c>
      <c r="V96" s="35">
        <f t="shared" si="18"/>
        <v>1</v>
      </c>
      <c r="W96" s="40">
        <f t="shared" si="19"/>
        <v>0</v>
      </c>
      <c r="X96" s="4" t="str">
        <f t="shared" si="20"/>
        <v>OK</v>
      </c>
      <c r="Y96" s="30">
        <v>0.76670000000000005</v>
      </c>
    </row>
    <row r="97" spans="1:25" x14ac:dyDescent="0.3">
      <c r="A97" s="36" t="s">
        <v>466</v>
      </c>
      <c r="B97" s="16" t="s">
        <v>404</v>
      </c>
      <c r="C97" s="4" t="s">
        <v>179</v>
      </c>
      <c r="D97" s="37">
        <v>0.62</v>
      </c>
      <c r="E97" s="31">
        <v>87</v>
      </c>
      <c r="F97" s="31">
        <v>30</v>
      </c>
      <c r="G97" s="30">
        <f t="shared" si="14"/>
        <v>2.9</v>
      </c>
      <c r="H97" s="30">
        <v>2.9</v>
      </c>
      <c r="I97" s="30">
        <v>2.4333</v>
      </c>
      <c r="J97" s="30">
        <v>2.9</v>
      </c>
      <c r="K97" s="38">
        <v>2.9</v>
      </c>
      <c r="L97" s="30">
        <v>1.972</v>
      </c>
      <c r="M97" s="31">
        <v>48</v>
      </c>
      <c r="N97" s="31">
        <v>30</v>
      </c>
      <c r="O97" s="30">
        <f t="shared" si="15"/>
        <v>1.6</v>
      </c>
      <c r="P97" s="30">
        <v>1.6</v>
      </c>
      <c r="Q97" s="30">
        <v>1.6</v>
      </c>
      <c r="R97" s="39">
        <v>4.5</v>
      </c>
      <c r="S97" s="30">
        <v>2.2522000000000002</v>
      </c>
      <c r="T97" s="35">
        <f t="shared" si="16"/>
        <v>0</v>
      </c>
      <c r="U97" s="35">
        <f t="shared" si="17"/>
        <v>0</v>
      </c>
      <c r="V97" s="35">
        <f t="shared" si="18"/>
        <v>1</v>
      </c>
      <c r="W97" s="40">
        <f t="shared" si="19"/>
        <v>0</v>
      </c>
      <c r="X97" s="4" t="str">
        <f t="shared" si="20"/>
        <v>OK</v>
      </c>
      <c r="Y97" s="30">
        <v>2.4333</v>
      </c>
    </row>
    <row r="98" spans="1:25" x14ac:dyDescent="0.3">
      <c r="A98" s="36" t="s">
        <v>469</v>
      </c>
      <c r="B98" s="16" t="s">
        <v>404</v>
      </c>
      <c r="C98" s="4" t="s">
        <v>188</v>
      </c>
      <c r="D98" s="37">
        <v>0.62</v>
      </c>
      <c r="E98" s="31">
        <v>17</v>
      </c>
      <c r="F98" s="31">
        <v>30</v>
      </c>
      <c r="G98" s="30">
        <f t="shared" si="14"/>
        <v>0.56666666666666665</v>
      </c>
      <c r="H98" s="30">
        <v>0.56669999999999998</v>
      </c>
      <c r="I98" s="30">
        <v>0.66669999999999996</v>
      </c>
      <c r="J98" s="30">
        <v>0.56669999999999998</v>
      </c>
      <c r="K98" s="38">
        <v>0.56669999999999998</v>
      </c>
      <c r="L98" s="30">
        <v>0.72789999999999999</v>
      </c>
      <c r="M98" s="31">
        <v>11</v>
      </c>
      <c r="N98" s="31">
        <v>30</v>
      </c>
      <c r="O98" s="30">
        <f t="shared" si="15"/>
        <v>0.36666666666666664</v>
      </c>
      <c r="P98" s="30">
        <v>0.36670000000000003</v>
      </c>
      <c r="Q98" s="30">
        <v>0.36670000000000003</v>
      </c>
      <c r="R98" s="39">
        <v>0.93340000000000001</v>
      </c>
      <c r="S98" s="30">
        <v>0.88029999999999997</v>
      </c>
      <c r="T98" s="35">
        <f t="shared" si="16"/>
        <v>0</v>
      </c>
      <c r="U98" s="35">
        <f t="shared" si="17"/>
        <v>5.8823529411666797E-5</v>
      </c>
      <c r="V98" s="35">
        <f t="shared" si="18"/>
        <v>1</v>
      </c>
      <c r="W98" s="40">
        <f t="shared" si="19"/>
        <v>0</v>
      </c>
      <c r="X98" s="4" t="str">
        <f t="shared" si="20"/>
        <v>OK</v>
      </c>
      <c r="Y98" s="30">
        <v>0.66669999999999996</v>
      </c>
    </row>
    <row r="99" spans="1:25" x14ac:dyDescent="0.3">
      <c r="A99" s="36" t="s">
        <v>472</v>
      </c>
      <c r="B99" s="16" t="s">
        <v>404</v>
      </c>
      <c r="C99" s="4" t="s">
        <v>188</v>
      </c>
      <c r="D99" s="37">
        <v>0.62</v>
      </c>
      <c r="E99" s="31">
        <v>22</v>
      </c>
      <c r="F99" s="31">
        <v>30</v>
      </c>
      <c r="G99" s="30">
        <f t="shared" si="14"/>
        <v>0.73333333333333328</v>
      </c>
      <c r="H99" s="30">
        <v>0.73329999999999995</v>
      </c>
      <c r="I99" s="30">
        <v>0.78890000000000005</v>
      </c>
      <c r="J99" s="30">
        <v>0.73329999999999995</v>
      </c>
      <c r="K99" s="38">
        <v>0.73329999999999995</v>
      </c>
      <c r="L99" s="30">
        <v>0.94440000000000002</v>
      </c>
      <c r="M99" s="31">
        <v>18</v>
      </c>
      <c r="N99" s="31">
        <v>30</v>
      </c>
      <c r="O99" s="30">
        <f t="shared" si="15"/>
        <v>0.6</v>
      </c>
      <c r="P99" s="30">
        <v>0.6</v>
      </c>
      <c r="Q99" s="30">
        <v>0.6</v>
      </c>
      <c r="R99" s="39">
        <v>1.3332999999999999</v>
      </c>
      <c r="S99" s="30">
        <v>1.2442</v>
      </c>
      <c r="T99" s="35">
        <f t="shared" si="16"/>
        <v>0</v>
      </c>
      <c r="U99" s="35">
        <f t="shared" si="17"/>
        <v>-4.5454545454570727E-5</v>
      </c>
      <c r="V99" s="35">
        <f t="shared" si="18"/>
        <v>1</v>
      </c>
      <c r="W99" s="40">
        <f t="shared" si="19"/>
        <v>0</v>
      </c>
      <c r="X99" s="4" t="str">
        <f t="shared" si="20"/>
        <v>OK</v>
      </c>
      <c r="Y99" s="30">
        <v>0.78890000000000005</v>
      </c>
    </row>
    <row r="100" spans="1:25" x14ac:dyDescent="0.3">
      <c r="A100" s="36" t="s">
        <v>475</v>
      </c>
      <c r="B100" s="16" t="s">
        <v>404</v>
      </c>
      <c r="C100" s="4" t="s">
        <v>188</v>
      </c>
      <c r="D100" s="37">
        <v>0.62</v>
      </c>
      <c r="E100" s="31">
        <v>13</v>
      </c>
      <c r="F100" s="31">
        <v>30</v>
      </c>
      <c r="G100" s="30">
        <f t="shared" si="14"/>
        <v>0.43333333333333335</v>
      </c>
      <c r="H100" s="30">
        <v>0.43330000000000002</v>
      </c>
      <c r="I100" s="30">
        <v>0.38890000000000002</v>
      </c>
      <c r="J100" s="30">
        <v>0.43330000000000002</v>
      </c>
      <c r="K100" s="38">
        <v>0.43330000000000002</v>
      </c>
      <c r="L100" s="30">
        <v>0.58499999999999996</v>
      </c>
      <c r="M100" s="31">
        <v>10</v>
      </c>
      <c r="N100" s="31">
        <v>30</v>
      </c>
      <c r="O100" s="30">
        <f t="shared" si="15"/>
        <v>0.33333333333333331</v>
      </c>
      <c r="P100" s="30">
        <v>0.33329999999999999</v>
      </c>
      <c r="Q100" s="30">
        <v>0.33329999999999999</v>
      </c>
      <c r="R100" s="39">
        <v>0.76659999999999995</v>
      </c>
      <c r="S100" s="30">
        <v>0.73809999999999998</v>
      </c>
      <c r="T100" s="35">
        <f t="shared" si="16"/>
        <v>0</v>
      </c>
      <c r="U100" s="35">
        <f t="shared" si="17"/>
        <v>-7.6923076923085532E-5</v>
      </c>
      <c r="V100" s="35">
        <f t="shared" si="18"/>
        <v>1</v>
      </c>
      <c r="W100" s="40">
        <f t="shared" si="19"/>
        <v>0</v>
      </c>
      <c r="X100" s="4" t="str">
        <f t="shared" si="20"/>
        <v>OK</v>
      </c>
      <c r="Y100" s="30">
        <v>0.38890000000000002</v>
      </c>
    </row>
    <row r="101" spans="1:25" x14ac:dyDescent="0.3">
      <c r="A101" s="36" t="s">
        <v>478</v>
      </c>
      <c r="B101" s="16" t="s">
        <v>404</v>
      </c>
      <c r="C101" s="4" t="s">
        <v>221</v>
      </c>
      <c r="D101" s="37">
        <v>0.62</v>
      </c>
      <c r="E101" s="31">
        <v>639</v>
      </c>
      <c r="F101" s="31">
        <v>23.220099999999999</v>
      </c>
      <c r="G101" s="30">
        <f t="shared" ref="G101:G132" si="21">E101/30</f>
        <v>21.3</v>
      </c>
      <c r="H101" s="30">
        <v>27.519300000000001</v>
      </c>
      <c r="I101" s="30">
        <v>29.3919</v>
      </c>
      <c r="J101" s="30">
        <v>13.6723</v>
      </c>
      <c r="K101" s="38">
        <v>27.519300000000001</v>
      </c>
      <c r="L101" s="30">
        <v>8.8062000000000005</v>
      </c>
      <c r="M101" s="31">
        <v>573</v>
      </c>
      <c r="N101" s="31">
        <v>30</v>
      </c>
      <c r="O101" s="30">
        <f t="shared" ref="O101:O132" si="22">M101/30</f>
        <v>19.100000000000001</v>
      </c>
      <c r="P101" s="30">
        <v>19.100000000000001</v>
      </c>
      <c r="Q101" s="30">
        <v>19.100000000000001</v>
      </c>
      <c r="R101" s="39">
        <v>46.619300000000003</v>
      </c>
      <c r="S101" s="30">
        <v>10.7194</v>
      </c>
      <c r="T101" s="35">
        <f t="shared" ref="T101:T132" si="23">MAX(0,(30-F101)/30)</f>
        <v>0.22599666666666671</v>
      </c>
      <c r="U101" s="35">
        <f t="shared" ref="U101:U132" si="24">IF(G101&gt;0,K101/G101-1,0)</f>
        <v>0.29198591549295783</v>
      </c>
      <c r="V101" s="35">
        <f t="shared" ref="V101:V132" si="25">F101/30</f>
        <v>0.77400333333333327</v>
      </c>
      <c r="W101" s="40">
        <f t="shared" ref="W101:W132" si="26">MAX(0,30-F101)</f>
        <v>6.7799000000000014</v>
      </c>
      <c r="X101" s="4" t="str">
        <f t="shared" ref="X101:X132" si="27">IF(F101&lt;20,"CENSORED - REVIEW ACTIVE DAY","OK")</f>
        <v>OK</v>
      </c>
      <c r="Y101" s="30">
        <v>29.3919</v>
      </c>
    </row>
    <row r="102" spans="1:25" x14ac:dyDescent="0.3">
      <c r="A102" s="36" t="s">
        <v>481</v>
      </c>
      <c r="B102" s="16" t="s">
        <v>404</v>
      </c>
      <c r="C102" s="4" t="s">
        <v>184</v>
      </c>
      <c r="D102" s="37">
        <v>0.62</v>
      </c>
      <c r="E102" s="31">
        <v>39</v>
      </c>
      <c r="F102" s="31">
        <v>16.851199999999999</v>
      </c>
      <c r="G102" s="30">
        <f t="shared" si="21"/>
        <v>1.3</v>
      </c>
      <c r="H102" s="30">
        <v>2.3144</v>
      </c>
      <c r="I102" s="30">
        <v>2.3292000000000002</v>
      </c>
      <c r="J102" s="30">
        <v>5.8654999999999999</v>
      </c>
      <c r="K102" s="38">
        <v>2.3144</v>
      </c>
      <c r="L102" s="30">
        <v>1.1572</v>
      </c>
      <c r="M102" s="31">
        <v>35</v>
      </c>
      <c r="N102" s="31">
        <v>30</v>
      </c>
      <c r="O102" s="30">
        <f t="shared" si="22"/>
        <v>1.1666666666666667</v>
      </c>
      <c r="P102" s="30">
        <v>1.1667000000000001</v>
      </c>
      <c r="Q102" s="30">
        <v>1.1667000000000001</v>
      </c>
      <c r="R102" s="39">
        <v>3.4811000000000001</v>
      </c>
      <c r="S102" s="30">
        <v>1.2959000000000001</v>
      </c>
      <c r="T102" s="35">
        <f t="shared" si="23"/>
        <v>0.43829333333333337</v>
      </c>
      <c r="U102" s="35">
        <f t="shared" si="24"/>
        <v>0.78030769230769215</v>
      </c>
      <c r="V102" s="35">
        <f t="shared" si="25"/>
        <v>0.56170666666666658</v>
      </c>
      <c r="W102" s="40">
        <f t="shared" si="26"/>
        <v>13.148800000000001</v>
      </c>
      <c r="X102" s="4" t="str">
        <f t="shared" si="27"/>
        <v>CENSORED - REVIEW ACTIVE DAY</v>
      </c>
      <c r="Y102" s="30">
        <v>2.3292000000000002</v>
      </c>
    </row>
    <row r="103" spans="1:25" x14ac:dyDescent="0.3">
      <c r="A103" s="36" t="s">
        <v>484</v>
      </c>
      <c r="B103" s="16" t="s">
        <v>404</v>
      </c>
      <c r="C103" s="4" t="s">
        <v>172</v>
      </c>
      <c r="D103" s="37">
        <v>0.62</v>
      </c>
      <c r="E103" s="31">
        <v>555</v>
      </c>
      <c r="F103" s="31">
        <v>30</v>
      </c>
      <c r="G103" s="30">
        <f t="shared" si="21"/>
        <v>18.5</v>
      </c>
      <c r="H103" s="30">
        <v>18.5</v>
      </c>
      <c r="I103" s="30">
        <v>17.1111</v>
      </c>
      <c r="J103" s="30">
        <v>18.5</v>
      </c>
      <c r="K103" s="38">
        <v>18.5</v>
      </c>
      <c r="L103" s="30">
        <v>7.7314999999999996</v>
      </c>
      <c r="M103" s="31">
        <v>200</v>
      </c>
      <c r="N103" s="31">
        <v>20.642600000000002</v>
      </c>
      <c r="O103" s="30">
        <f t="shared" si="22"/>
        <v>6.666666666666667</v>
      </c>
      <c r="P103" s="30">
        <v>9.6887000000000008</v>
      </c>
      <c r="Q103" s="30">
        <v>9.6887000000000008</v>
      </c>
      <c r="R103" s="39">
        <v>28.188700000000001</v>
      </c>
      <c r="S103" s="30">
        <v>8.7729999999999997</v>
      </c>
      <c r="T103" s="35">
        <f t="shared" si="23"/>
        <v>0</v>
      </c>
      <c r="U103" s="35">
        <f t="shared" si="24"/>
        <v>0</v>
      </c>
      <c r="V103" s="35">
        <f t="shared" si="25"/>
        <v>1</v>
      </c>
      <c r="W103" s="40">
        <f t="shared" si="26"/>
        <v>0</v>
      </c>
      <c r="X103" s="4" t="str">
        <f t="shared" si="27"/>
        <v>OK</v>
      </c>
      <c r="Y103" s="30">
        <v>17.1111</v>
      </c>
    </row>
    <row r="104" spans="1:25" x14ac:dyDescent="0.3">
      <c r="A104" s="36" t="s">
        <v>487</v>
      </c>
      <c r="B104" s="16" t="s">
        <v>404</v>
      </c>
      <c r="C104" s="4" t="s">
        <v>188</v>
      </c>
      <c r="D104" s="37">
        <v>0.62</v>
      </c>
      <c r="E104" s="31">
        <v>67</v>
      </c>
      <c r="F104" s="31">
        <v>30</v>
      </c>
      <c r="G104" s="30">
        <f t="shared" si="21"/>
        <v>2.2333333333333334</v>
      </c>
      <c r="H104" s="30">
        <v>2.2332999999999998</v>
      </c>
      <c r="I104" s="30">
        <v>1.7778</v>
      </c>
      <c r="J104" s="30">
        <v>2.2332999999999998</v>
      </c>
      <c r="K104" s="38">
        <v>2.2332999999999998</v>
      </c>
      <c r="L104" s="30">
        <v>2.7854999999999999</v>
      </c>
      <c r="M104" s="31">
        <v>10</v>
      </c>
      <c r="N104" s="31">
        <v>10</v>
      </c>
      <c r="O104" s="30">
        <f t="shared" si="22"/>
        <v>0.33333333333333331</v>
      </c>
      <c r="P104" s="30">
        <v>1</v>
      </c>
      <c r="Q104" s="30">
        <v>1</v>
      </c>
      <c r="R104" s="39">
        <v>3.2332999999999998</v>
      </c>
      <c r="S104" s="30">
        <v>3.0954000000000002</v>
      </c>
      <c r="T104" s="35">
        <f t="shared" si="23"/>
        <v>0</v>
      </c>
      <c r="U104" s="35">
        <f t="shared" si="24"/>
        <v>-1.4925373134411224E-5</v>
      </c>
      <c r="V104" s="35">
        <f t="shared" si="25"/>
        <v>1</v>
      </c>
      <c r="W104" s="40">
        <f t="shared" si="26"/>
        <v>0</v>
      </c>
      <c r="X104" s="4" t="str">
        <f t="shared" si="27"/>
        <v>OK</v>
      </c>
      <c r="Y104" s="30">
        <v>1.7778</v>
      </c>
    </row>
    <row r="105" spans="1:25" x14ac:dyDescent="0.3">
      <c r="A105" s="36" t="s">
        <v>490</v>
      </c>
      <c r="B105" s="16" t="s">
        <v>404</v>
      </c>
      <c r="C105" s="4" t="s">
        <v>179</v>
      </c>
      <c r="D105" s="37">
        <v>0.62</v>
      </c>
      <c r="E105" s="31">
        <v>94</v>
      </c>
      <c r="F105" s="31">
        <v>30</v>
      </c>
      <c r="G105" s="30">
        <f t="shared" si="21"/>
        <v>3.1333333333333333</v>
      </c>
      <c r="H105" s="30">
        <v>3.1333000000000002</v>
      </c>
      <c r="I105" s="30">
        <v>3.2105000000000001</v>
      </c>
      <c r="J105" s="30">
        <v>3.1333000000000002</v>
      </c>
      <c r="K105" s="38">
        <v>3.1333000000000002</v>
      </c>
      <c r="L105" s="30">
        <v>2.1307</v>
      </c>
      <c r="M105" s="31">
        <v>39</v>
      </c>
      <c r="N105" s="31">
        <v>16</v>
      </c>
      <c r="O105" s="30">
        <f t="shared" si="22"/>
        <v>1.3</v>
      </c>
      <c r="P105" s="30">
        <v>2.4375</v>
      </c>
      <c r="Q105" s="30">
        <v>2.4375</v>
      </c>
      <c r="R105" s="39">
        <v>5.5708000000000002</v>
      </c>
      <c r="S105" s="30">
        <v>2.6995</v>
      </c>
      <c r="T105" s="35">
        <f t="shared" si="23"/>
        <v>0</v>
      </c>
      <c r="U105" s="35">
        <f t="shared" si="24"/>
        <v>-1.0638297872289648E-5</v>
      </c>
      <c r="V105" s="35">
        <f t="shared" si="25"/>
        <v>1</v>
      </c>
      <c r="W105" s="40">
        <f t="shared" si="26"/>
        <v>0</v>
      </c>
      <c r="X105" s="4" t="str">
        <f t="shared" si="27"/>
        <v>OK</v>
      </c>
      <c r="Y105" s="30">
        <v>3.2105000000000001</v>
      </c>
    </row>
    <row r="106" spans="1:25" x14ac:dyDescent="0.3">
      <c r="A106" s="36" t="s">
        <v>493</v>
      </c>
      <c r="B106" s="16" t="s">
        <v>404</v>
      </c>
      <c r="C106" s="4" t="s">
        <v>188</v>
      </c>
      <c r="D106" s="37">
        <v>0.62</v>
      </c>
      <c r="E106" s="31">
        <v>30</v>
      </c>
      <c r="F106" s="31">
        <v>30</v>
      </c>
      <c r="G106" s="30">
        <f t="shared" si="21"/>
        <v>1</v>
      </c>
      <c r="H106" s="30">
        <v>1</v>
      </c>
      <c r="I106" s="30">
        <v>0.88890000000000002</v>
      </c>
      <c r="J106" s="30">
        <v>1</v>
      </c>
      <c r="K106" s="38">
        <v>1</v>
      </c>
      <c r="L106" s="30">
        <v>1.2213000000000001</v>
      </c>
      <c r="M106" s="31">
        <v>20</v>
      </c>
      <c r="N106" s="31">
        <v>30</v>
      </c>
      <c r="O106" s="30">
        <f t="shared" si="22"/>
        <v>0.66666666666666663</v>
      </c>
      <c r="P106" s="30">
        <v>0.66669999999999996</v>
      </c>
      <c r="Q106" s="30">
        <v>0.66669999999999996</v>
      </c>
      <c r="R106" s="39">
        <v>1.6667000000000001</v>
      </c>
      <c r="S106" s="30">
        <v>1.4637</v>
      </c>
      <c r="T106" s="35">
        <f t="shared" si="23"/>
        <v>0</v>
      </c>
      <c r="U106" s="35">
        <f t="shared" si="24"/>
        <v>0</v>
      </c>
      <c r="V106" s="35">
        <f t="shared" si="25"/>
        <v>1</v>
      </c>
      <c r="W106" s="40">
        <f t="shared" si="26"/>
        <v>0</v>
      </c>
      <c r="X106" s="4" t="str">
        <f t="shared" si="27"/>
        <v>OK</v>
      </c>
      <c r="Y106" s="30">
        <v>0.88890000000000002</v>
      </c>
    </row>
    <row r="107" spans="1:25" x14ac:dyDescent="0.3">
      <c r="A107" s="36" t="s">
        <v>496</v>
      </c>
      <c r="B107" s="16" t="s">
        <v>404</v>
      </c>
      <c r="C107" s="4" t="s">
        <v>188</v>
      </c>
      <c r="D107" s="37">
        <v>0.62</v>
      </c>
      <c r="E107" s="31">
        <v>0</v>
      </c>
      <c r="F107" s="31">
        <v>0</v>
      </c>
      <c r="G107" s="30">
        <f t="shared" si="21"/>
        <v>0</v>
      </c>
      <c r="H107" s="30">
        <v>0</v>
      </c>
      <c r="I107" s="30">
        <v>0</v>
      </c>
      <c r="J107" s="30">
        <v>4.0168999999999997</v>
      </c>
      <c r="K107" s="38">
        <v>1.4289000000000001</v>
      </c>
      <c r="L107" s="30">
        <v>0.92879999999999996</v>
      </c>
      <c r="M107" s="31">
        <v>30</v>
      </c>
      <c r="N107" s="31">
        <v>30</v>
      </c>
      <c r="O107" s="30">
        <f t="shared" si="22"/>
        <v>1</v>
      </c>
      <c r="P107" s="30">
        <v>1</v>
      </c>
      <c r="Q107" s="30">
        <v>1</v>
      </c>
      <c r="R107" s="39">
        <v>2.4289000000000001</v>
      </c>
      <c r="S107" s="30">
        <v>1.6386000000000001</v>
      </c>
      <c r="T107" s="35">
        <f t="shared" si="23"/>
        <v>1</v>
      </c>
      <c r="U107" s="35">
        <f t="shared" si="24"/>
        <v>0</v>
      </c>
      <c r="V107" s="35">
        <f t="shared" si="25"/>
        <v>0</v>
      </c>
      <c r="W107" s="40">
        <f t="shared" si="26"/>
        <v>30</v>
      </c>
      <c r="X107" s="4" t="str">
        <f t="shared" si="27"/>
        <v>CENSORED - REVIEW ACTIVE DAY</v>
      </c>
      <c r="Y107" s="30">
        <v>1.4289000000000001</v>
      </c>
    </row>
    <row r="108" spans="1:25" x14ac:dyDescent="0.3">
      <c r="A108" s="36" t="s">
        <v>499</v>
      </c>
      <c r="B108" s="16" t="s">
        <v>404</v>
      </c>
      <c r="C108" s="4" t="s">
        <v>188</v>
      </c>
      <c r="D108" s="37">
        <v>0.62</v>
      </c>
      <c r="E108" s="31">
        <v>26</v>
      </c>
      <c r="F108" s="31">
        <v>30</v>
      </c>
      <c r="G108" s="30">
        <f t="shared" si="21"/>
        <v>0.8666666666666667</v>
      </c>
      <c r="H108" s="30">
        <v>0.86670000000000003</v>
      </c>
      <c r="I108" s="30">
        <v>0.67779999999999996</v>
      </c>
      <c r="J108" s="30">
        <v>0.86670000000000003</v>
      </c>
      <c r="K108" s="38">
        <v>0.86670000000000003</v>
      </c>
      <c r="L108" s="30">
        <v>1.17</v>
      </c>
      <c r="M108" s="31">
        <v>14</v>
      </c>
      <c r="N108" s="31">
        <v>30</v>
      </c>
      <c r="O108" s="30">
        <f t="shared" si="22"/>
        <v>0.46666666666666667</v>
      </c>
      <c r="P108" s="30">
        <v>0.4667</v>
      </c>
      <c r="Q108" s="30">
        <v>0.4667</v>
      </c>
      <c r="R108" s="39">
        <v>1.3333999999999999</v>
      </c>
      <c r="S108" s="30">
        <v>1.3288</v>
      </c>
      <c r="T108" s="35">
        <f t="shared" si="23"/>
        <v>0</v>
      </c>
      <c r="U108" s="35">
        <f t="shared" si="24"/>
        <v>3.8461538461431743E-5</v>
      </c>
      <c r="V108" s="35">
        <f t="shared" si="25"/>
        <v>1</v>
      </c>
      <c r="W108" s="40">
        <f t="shared" si="26"/>
        <v>0</v>
      </c>
      <c r="X108" s="4" t="str">
        <f t="shared" si="27"/>
        <v>OK</v>
      </c>
      <c r="Y108" s="30">
        <v>0.67779999999999996</v>
      </c>
    </row>
    <row r="109" spans="1:25" x14ac:dyDescent="0.3">
      <c r="A109" s="36" t="s">
        <v>502</v>
      </c>
      <c r="B109" s="16" t="s">
        <v>404</v>
      </c>
      <c r="C109" s="4" t="s">
        <v>188</v>
      </c>
      <c r="D109" s="37">
        <v>0.62</v>
      </c>
      <c r="E109" s="31">
        <v>41</v>
      </c>
      <c r="F109" s="31">
        <v>30</v>
      </c>
      <c r="G109" s="30">
        <f t="shared" si="21"/>
        <v>1.3666666666666667</v>
      </c>
      <c r="H109" s="30">
        <v>1.3667</v>
      </c>
      <c r="I109" s="30">
        <v>1.2778</v>
      </c>
      <c r="J109" s="30">
        <v>1.3667</v>
      </c>
      <c r="K109" s="38">
        <v>1.3667</v>
      </c>
      <c r="L109" s="30">
        <v>1.7639</v>
      </c>
      <c r="M109" s="31">
        <v>22</v>
      </c>
      <c r="N109" s="31">
        <v>30</v>
      </c>
      <c r="O109" s="30">
        <f t="shared" si="22"/>
        <v>0.73333333333333328</v>
      </c>
      <c r="P109" s="30">
        <v>0.73329999999999995</v>
      </c>
      <c r="Q109" s="30">
        <v>0.73329999999999995</v>
      </c>
      <c r="R109" s="39">
        <v>2.1</v>
      </c>
      <c r="S109" s="30">
        <v>2.0226999999999999</v>
      </c>
      <c r="T109" s="35">
        <f t="shared" si="23"/>
        <v>0</v>
      </c>
      <c r="U109" s="35">
        <f t="shared" si="24"/>
        <v>2.4390243902328024E-5</v>
      </c>
      <c r="V109" s="35">
        <f t="shared" si="25"/>
        <v>1</v>
      </c>
      <c r="W109" s="40">
        <f t="shared" si="26"/>
        <v>0</v>
      </c>
      <c r="X109" s="4" t="str">
        <f t="shared" si="27"/>
        <v>OK</v>
      </c>
      <c r="Y109" s="30">
        <v>1.2778</v>
      </c>
    </row>
    <row r="110" spans="1:25" x14ac:dyDescent="0.3">
      <c r="A110" s="36" t="s">
        <v>505</v>
      </c>
      <c r="B110" s="16" t="s">
        <v>404</v>
      </c>
      <c r="C110" s="4" t="s">
        <v>188</v>
      </c>
      <c r="D110" s="37">
        <v>0.62</v>
      </c>
      <c r="E110" s="31">
        <v>19</v>
      </c>
      <c r="F110" s="31">
        <v>30</v>
      </c>
      <c r="G110" s="30">
        <f t="shared" si="21"/>
        <v>0.6333333333333333</v>
      </c>
      <c r="H110" s="30">
        <v>0.63329999999999997</v>
      </c>
      <c r="I110" s="30">
        <v>0.57779999999999998</v>
      </c>
      <c r="J110" s="30">
        <v>0.63329999999999997</v>
      </c>
      <c r="K110" s="38">
        <v>0.63329999999999997</v>
      </c>
      <c r="L110" s="30">
        <v>0.85499999999999998</v>
      </c>
      <c r="M110" s="31">
        <v>6</v>
      </c>
      <c r="N110" s="31">
        <v>30</v>
      </c>
      <c r="O110" s="30">
        <f t="shared" si="22"/>
        <v>0.2</v>
      </c>
      <c r="P110" s="30">
        <v>0.2</v>
      </c>
      <c r="Q110" s="30">
        <v>0.2</v>
      </c>
      <c r="R110" s="39">
        <v>0.83330000000000004</v>
      </c>
      <c r="S110" s="30">
        <v>0.89659999999999995</v>
      </c>
      <c r="T110" s="35">
        <f t="shared" si="23"/>
        <v>0</v>
      </c>
      <c r="U110" s="35">
        <f t="shared" si="24"/>
        <v>-5.2631578947415214E-5</v>
      </c>
      <c r="V110" s="35">
        <f t="shared" si="25"/>
        <v>1</v>
      </c>
      <c r="W110" s="40">
        <f t="shared" si="26"/>
        <v>0</v>
      </c>
      <c r="X110" s="4" t="str">
        <f t="shared" si="27"/>
        <v>OK</v>
      </c>
      <c r="Y110" s="30">
        <v>0.57779999999999998</v>
      </c>
    </row>
    <row r="111" spans="1:25" x14ac:dyDescent="0.3">
      <c r="A111" s="36" t="s">
        <v>508</v>
      </c>
      <c r="B111" s="16" t="s">
        <v>404</v>
      </c>
      <c r="C111" s="4" t="s">
        <v>188</v>
      </c>
      <c r="D111" s="37">
        <v>0.62</v>
      </c>
      <c r="E111" s="31">
        <v>20</v>
      </c>
      <c r="F111" s="31">
        <v>30</v>
      </c>
      <c r="G111" s="30">
        <f t="shared" si="21"/>
        <v>0.66666666666666663</v>
      </c>
      <c r="H111" s="30">
        <v>0.66669999999999996</v>
      </c>
      <c r="I111" s="30">
        <v>0.58889999999999998</v>
      </c>
      <c r="J111" s="30">
        <v>0.66669999999999996</v>
      </c>
      <c r="K111" s="38">
        <v>0.66669999999999996</v>
      </c>
      <c r="L111" s="30">
        <v>0.9</v>
      </c>
      <c r="M111" s="31">
        <v>6</v>
      </c>
      <c r="N111" s="31">
        <v>30</v>
      </c>
      <c r="O111" s="30">
        <f t="shared" si="22"/>
        <v>0.2</v>
      </c>
      <c r="P111" s="30">
        <v>0.2</v>
      </c>
      <c r="Q111" s="30">
        <v>0.2</v>
      </c>
      <c r="R111" s="39">
        <v>0.86670000000000003</v>
      </c>
      <c r="S111" s="30">
        <v>0.93959999999999999</v>
      </c>
      <c r="T111" s="35">
        <f t="shared" si="23"/>
        <v>0</v>
      </c>
      <c r="U111" s="35">
        <f t="shared" si="24"/>
        <v>4.9999999999883471E-5</v>
      </c>
      <c r="V111" s="35">
        <f t="shared" si="25"/>
        <v>1</v>
      </c>
      <c r="W111" s="40">
        <f t="shared" si="26"/>
        <v>0</v>
      </c>
      <c r="X111" s="4" t="str">
        <f t="shared" si="27"/>
        <v>OK</v>
      </c>
      <c r="Y111" s="30">
        <v>0.58889999999999998</v>
      </c>
    </row>
    <row r="112" spans="1:25" x14ac:dyDescent="0.3">
      <c r="A112" s="36" t="s">
        <v>511</v>
      </c>
      <c r="B112" s="16" t="s">
        <v>404</v>
      </c>
      <c r="C112" s="4" t="s">
        <v>188</v>
      </c>
      <c r="D112" s="37">
        <v>0.62</v>
      </c>
      <c r="E112" s="31">
        <v>9</v>
      </c>
      <c r="F112" s="31">
        <v>30</v>
      </c>
      <c r="G112" s="30">
        <f t="shared" si="21"/>
        <v>0.3</v>
      </c>
      <c r="H112" s="30">
        <v>0.3</v>
      </c>
      <c r="I112" s="30">
        <v>0.28889999999999999</v>
      </c>
      <c r="J112" s="30">
        <v>0.3</v>
      </c>
      <c r="K112" s="38">
        <v>0.3</v>
      </c>
      <c r="L112" s="30">
        <v>0.40500000000000003</v>
      </c>
      <c r="M112" s="31">
        <v>7</v>
      </c>
      <c r="N112" s="31">
        <v>30</v>
      </c>
      <c r="O112" s="30">
        <f t="shared" si="22"/>
        <v>0.23333333333333334</v>
      </c>
      <c r="P112" s="30">
        <v>0.23330000000000001</v>
      </c>
      <c r="Q112" s="30">
        <v>0.23330000000000001</v>
      </c>
      <c r="R112" s="39">
        <v>0.5333</v>
      </c>
      <c r="S112" s="30">
        <v>0.5131</v>
      </c>
      <c r="T112" s="35">
        <f t="shared" si="23"/>
        <v>0</v>
      </c>
      <c r="U112" s="35">
        <f t="shared" si="24"/>
        <v>0</v>
      </c>
      <c r="V112" s="35">
        <f t="shared" si="25"/>
        <v>1</v>
      </c>
      <c r="W112" s="40">
        <f t="shared" si="26"/>
        <v>0</v>
      </c>
      <c r="X112" s="4" t="str">
        <f t="shared" si="27"/>
        <v>OK</v>
      </c>
      <c r="Y112" s="30">
        <v>0.28889999999999999</v>
      </c>
    </row>
    <row r="113" spans="1:25" x14ac:dyDescent="0.3">
      <c r="A113" s="36" t="s">
        <v>514</v>
      </c>
      <c r="B113" s="16" t="s">
        <v>515</v>
      </c>
      <c r="C113" s="4" t="s">
        <v>184</v>
      </c>
      <c r="D113" s="37">
        <v>0.65</v>
      </c>
      <c r="E113" s="31">
        <v>169</v>
      </c>
      <c r="F113" s="31">
        <v>30</v>
      </c>
      <c r="G113" s="30">
        <f t="shared" si="21"/>
        <v>5.6333333333333337</v>
      </c>
      <c r="H113" s="30">
        <v>5.6333000000000002</v>
      </c>
      <c r="I113" s="30">
        <v>5.7556000000000003</v>
      </c>
      <c r="J113" s="30">
        <v>5.6333000000000002</v>
      </c>
      <c r="K113" s="38">
        <v>5.6333000000000002</v>
      </c>
      <c r="L113" s="30">
        <v>2.5971000000000002</v>
      </c>
      <c r="M113" s="31">
        <v>104</v>
      </c>
      <c r="N113" s="31">
        <v>30</v>
      </c>
      <c r="O113" s="30">
        <f t="shared" si="22"/>
        <v>3.4666666666666668</v>
      </c>
      <c r="P113" s="30">
        <v>3.4666999999999999</v>
      </c>
      <c r="Q113" s="30">
        <v>3.4666999999999999</v>
      </c>
      <c r="R113" s="39">
        <v>9.1</v>
      </c>
      <c r="S113" s="30">
        <v>3.1223999999999998</v>
      </c>
      <c r="T113" s="35">
        <f t="shared" si="23"/>
        <v>0</v>
      </c>
      <c r="U113" s="35">
        <f t="shared" si="24"/>
        <v>-5.9171597633911333E-6</v>
      </c>
      <c r="V113" s="35">
        <f t="shared" si="25"/>
        <v>1</v>
      </c>
      <c r="W113" s="40">
        <f t="shared" si="26"/>
        <v>0</v>
      </c>
      <c r="X113" s="4" t="str">
        <f t="shared" si="27"/>
        <v>OK</v>
      </c>
      <c r="Y113" s="30">
        <v>5.7556000000000003</v>
      </c>
    </row>
    <row r="114" spans="1:25" x14ac:dyDescent="0.3">
      <c r="A114" s="36" t="s">
        <v>521</v>
      </c>
      <c r="B114" s="16" t="s">
        <v>515</v>
      </c>
      <c r="C114" s="4" t="s">
        <v>184</v>
      </c>
      <c r="D114" s="37">
        <v>0.65</v>
      </c>
      <c r="E114" s="31">
        <v>125</v>
      </c>
      <c r="F114" s="31">
        <v>30</v>
      </c>
      <c r="G114" s="30">
        <f t="shared" si="21"/>
        <v>4.166666666666667</v>
      </c>
      <c r="H114" s="30">
        <v>4.1666999999999996</v>
      </c>
      <c r="I114" s="30">
        <v>3.6444000000000001</v>
      </c>
      <c r="J114" s="30">
        <v>4.1666999999999996</v>
      </c>
      <c r="K114" s="38">
        <v>4.1666999999999996</v>
      </c>
      <c r="L114" s="30">
        <v>2.0832999999999999</v>
      </c>
      <c r="M114" s="31">
        <v>70</v>
      </c>
      <c r="N114" s="31">
        <v>30</v>
      </c>
      <c r="O114" s="30">
        <f t="shared" si="22"/>
        <v>2.3333333333333335</v>
      </c>
      <c r="P114" s="30">
        <v>2.3332999999999999</v>
      </c>
      <c r="Q114" s="30">
        <v>2.3332999999999999</v>
      </c>
      <c r="R114" s="39">
        <v>6.5</v>
      </c>
      <c r="S114" s="30">
        <v>2.3877000000000002</v>
      </c>
      <c r="T114" s="35">
        <f t="shared" si="23"/>
        <v>0</v>
      </c>
      <c r="U114" s="35">
        <f t="shared" si="24"/>
        <v>7.9999999997859561E-6</v>
      </c>
      <c r="V114" s="35">
        <f t="shared" si="25"/>
        <v>1</v>
      </c>
      <c r="W114" s="40">
        <f t="shared" si="26"/>
        <v>0</v>
      </c>
      <c r="X114" s="4" t="str">
        <f t="shared" si="27"/>
        <v>OK</v>
      </c>
      <c r="Y114" s="30">
        <v>3.6444000000000001</v>
      </c>
    </row>
    <row r="115" spans="1:25" x14ac:dyDescent="0.3">
      <c r="A115" s="36" t="s">
        <v>524</v>
      </c>
      <c r="B115" s="16" t="s">
        <v>515</v>
      </c>
      <c r="C115" s="4" t="s">
        <v>184</v>
      </c>
      <c r="D115" s="37">
        <v>0.65</v>
      </c>
      <c r="E115" s="31">
        <v>131</v>
      </c>
      <c r="F115" s="31">
        <v>30</v>
      </c>
      <c r="G115" s="30">
        <f t="shared" si="21"/>
        <v>4.3666666666666663</v>
      </c>
      <c r="H115" s="30">
        <v>4.3666999999999998</v>
      </c>
      <c r="I115" s="30">
        <v>4.6222000000000003</v>
      </c>
      <c r="J115" s="30">
        <v>4.3666999999999998</v>
      </c>
      <c r="K115" s="38">
        <v>4.3666999999999998</v>
      </c>
      <c r="L115" s="30">
        <v>2.1833</v>
      </c>
      <c r="M115" s="31">
        <v>75</v>
      </c>
      <c r="N115" s="31">
        <v>30</v>
      </c>
      <c r="O115" s="30">
        <f t="shared" si="22"/>
        <v>2.5</v>
      </c>
      <c r="P115" s="30">
        <v>2.5</v>
      </c>
      <c r="Q115" s="30">
        <v>2.5</v>
      </c>
      <c r="R115" s="39">
        <v>6.8666999999999998</v>
      </c>
      <c r="S115" s="30">
        <v>2.5158</v>
      </c>
      <c r="T115" s="35">
        <f t="shared" si="23"/>
        <v>0</v>
      </c>
      <c r="U115" s="35">
        <f t="shared" si="24"/>
        <v>7.6335877863265011E-6</v>
      </c>
      <c r="V115" s="35">
        <f t="shared" si="25"/>
        <v>1</v>
      </c>
      <c r="W115" s="40">
        <f t="shared" si="26"/>
        <v>0</v>
      </c>
      <c r="X115" s="4" t="str">
        <f t="shared" si="27"/>
        <v>OK</v>
      </c>
      <c r="Y115" s="30">
        <v>4.6222000000000003</v>
      </c>
    </row>
    <row r="116" spans="1:25" x14ac:dyDescent="0.3">
      <c r="A116" s="36" t="s">
        <v>527</v>
      </c>
      <c r="B116" s="16" t="s">
        <v>515</v>
      </c>
      <c r="C116" s="4" t="s">
        <v>188</v>
      </c>
      <c r="D116" s="37">
        <v>0.65</v>
      </c>
      <c r="E116" s="31">
        <v>0</v>
      </c>
      <c r="F116" s="31">
        <v>0</v>
      </c>
      <c r="G116" s="30">
        <f t="shared" si="21"/>
        <v>0</v>
      </c>
      <c r="H116" s="30">
        <v>0</v>
      </c>
      <c r="I116" s="30">
        <v>0</v>
      </c>
      <c r="J116" s="30">
        <v>2.3378999999999999</v>
      </c>
      <c r="K116" s="38">
        <v>1.5399</v>
      </c>
      <c r="L116" s="30">
        <v>1.0008999999999999</v>
      </c>
      <c r="M116" s="31">
        <v>22</v>
      </c>
      <c r="N116" s="31">
        <v>30</v>
      </c>
      <c r="O116" s="30">
        <f t="shared" si="22"/>
        <v>0.73333333333333328</v>
      </c>
      <c r="P116" s="30">
        <v>0.73329999999999995</v>
      </c>
      <c r="Q116" s="30">
        <v>0.73329999999999995</v>
      </c>
      <c r="R116" s="39">
        <v>2.2732000000000001</v>
      </c>
      <c r="S116" s="30">
        <v>1.4077999999999999</v>
      </c>
      <c r="T116" s="35">
        <f t="shared" si="23"/>
        <v>1</v>
      </c>
      <c r="U116" s="35">
        <f t="shared" si="24"/>
        <v>0</v>
      </c>
      <c r="V116" s="35">
        <f t="shared" si="25"/>
        <v>0</v>
      </c>
      <c r="W116" s="40">
        <f t="shared" si="26"/>
        <v>30</v>
      </c>
      <c r="X116" s="4" t="str">
        <f t="shared" si="27"/>
        <v>CENSORED - REVIEW ACTIVE DAY</v>
      </c>
      <c r="Y116" s="30">
        <v>1.5399</v>
      </c>
    </row>
    <row r="117" spans="1:25" x14ac:dyDescent="0.3">
      <c r="A117" s="36" t="s">
        <v>530</v>
      </c>
      <c r="B117" s="16" t="s">
        <v>515</v>
      </c>
      <c r="C117" s="4" t="s">
        <v>179</v>
      </c>
      <c r="D117" s="37">
        <v>0.65</v>
      </c>
      <c r="E117" s="31">
        <v>130</v>
      </c>
      <c r="F117" s="31">
        <v>30</v>
      </c>
      <c r="G117" s="30">
        <f t="shared" si="21"/>
        <v>4.333333333333333</v>
      </c>
      <c r="H117" s="30">
        <v>4.3333000000000004</v>
      </c>
      <c r="I117" s="30">
        <v>4.3221999999999996</v>
      </c>
      <c r="J117" s="30">
        <v>4.3333000000000004</v>
      </c>
      <c r="K117" s="38">
        <v>4.3333000000000004</v>
      </c>
      <c r="L117" s="30">
        <v>2.9466999999999999</v>
      </c>
      <c r="M117" s="31">
        <v>88</v>
      </c>
      <c r="N117" s="31">
        <v>30</v>
      </c>
      <c r="O117" s="30">
        <f t="shared" si="22"/>
        <v>2.9333333333333331</v>
      </c>
      <c r="P117" s="30">
        <v>2.9333</v>
      </c>
      <c r="Q117" s="30">
        <v>2.9333</v>
      </c>
      <c r="R117" s="39">
        <v>7.2666000000000004</v>
      </c>
      <c r="S117" s="30">
        <v>3.5583999999999998</v>
      </c>
      <c r="T117" s="35">
        <f t="shared" si="23"/>
        <v>0</v>
      </c>
      <c r="U117" s="35">
        <f t="shared" si="24"/>
        <v>-7.6923076921531219E-6</v>
      </c>
      <c r="V117" s="35">
        <f t="shared" si="25"/>
        <v>1</v>
      </c>
      <c r="W117" s="40">
        <f t="shared" si="26"/>
        <v>0</v>
      </c>
      <c r="X117" s="4" t="str">
        <f t="shared" si="27"/>
        <v>OK</v>
      </c>
      <c r="Y117" s="30">
        <v>4.3221999999999996</v>
      </c>
    </row>
    <row r="118" spans="1:25" x14ac:dyDescent="0.3">
      <c r="A118" s="36" t="s">
        <v>533</v>
      </c>
      <c r="B118" s="16" t="s">
        <v>515</v>
      </c>
      <c r="C118" s="4" t="s">
        <v>188</v>
      </c>
      <c r="D118" s="37">
        <v>0.65</v>
      </c>
      <c r="E118" s="31">
        <v>33</v>
      </c>
      <c r="F118" s="31">
        <v>30</v>
      </c>
      <c r="G118" s="30">
        <f t="shared" si="21"/>
        <v>1.1000000000000001</v>
      </c>
      <c r="H118" s="30">
        <v>1.1000000000000001</v>
      </c>
      <c r="I118" s="30">
        <v>1.0556000000000001</v>
      </c>
      <c r="J118" s="30">
        <v>1.1000000000000001</v>
      </c>
      <c r="K118" s="38">
        <v>1.1000000000000001</v>
      </c>
      <c r="L118" s="30">
        <v>1.4850000000000001</v>
      </c>
      <c r="M118" s="31">
        <v>15</v>
      </c>
      <c r="N118" s="31">
        <v>30</v>
      </c>
      <c r="O118" s="30">
        <f t="shared" si="22"/>
        <v>0.5</v>
      </c>
      <c r="P118" s="30">
        <v>0.5</v>
      </c>
      <c r="Q118" s="30">
        <v>0.5</v>
      </c>
      <c r="R118" s="39">
        <v>1.6</v>
      </c>
      <c r="S118" s="30">
        <v>1.6312</v>
      </c>
      <c r="T118" s="35">
        <f t="shared" si="23"/>
        <v>0</v>
      </c>
      <c r="U118" s="35">
        <f t="shared" si="24"/>
        <v>0</v>
      </c>
      <c r="V118" s="35">
        <f t="shared" si="25"/>
        <v>1</v>
      </c>
      <c r="W118" s="40">
        <f t="shared" si="26"/>
        <v>0</v>
      </c>
      <c r="X118" s="4" t="str">
        <f t="shared" si="27"/>
        <v>OK</v>
      </c>
      <c r="Y118" s="30">
        <v>1.0556000000000001</v>
      </c>
    </row>
    <row r="119" spans="1:25" x14ac:dyDescent="0.3">
      <c r="A119" s="36" t="s">
        <v>536</v>
      </c>
      <c r="B119" s="16" t="s">
        <v>515</v>
      </c>
      <c r="C119" s="4" t="s">
        <v>188</v>
      </c>
      <c r="D119" s="37">
        <v>0.65</v>
      </c>
      <c r="E119" s="31">
        <v>48</v>
      </c>
      <c r="F119" s="31">
        <v>30</v>
      </c>
      <c r="G119" s="30">
        <f t="shared" si="21"/>
        <v>1.6</v>
      </c>
      <c r="H119" s="30">
        <v>1.6</v>
      </c>
      <c r="I119" s="30">
        <v>1.6333</v>
      </c>
      <c r="J119" s="30">
        <v>1.6</v>
      </c>
      <c r="K119" s="38">
        <v>1.6</v>
      </c>
      <c r="L119" s="30">
        <v>1.9781</v>
      </c>
      <c r="M119" s="31">
        <v>19</v>
      </c>
      <c r="N119" s="31">
        <v>30</v>
      </c>
      <c r="O119" s="30">
        <f t="shared" si="22"/>
        <v>0.6333333333333333</v>
      </c>
      <c r="P119" s="30">
        <v>0.63329999999999997</v>
      </c>
      <c r="Q119" s="30">
        <v>0.63329999999999997</v>
      </c>
      <c r="R119" s="39">
        <v>2.2332999999999998</v>
      </c>
      <c r="S119" s="30">
        <v>2.1549999999999998</v>
      </c>
      <c r="T119" s="35">
        <f t="shared" si="23"/>
        <v>0</v>
      </c>
      <c r="U119" s="35">
        <f t="shared" si="24"/>
        <v>0</v>
      </c>
      <c r="V119" s="35">
        <f t="shared" si="25"/>
        <v>1</v>
      </c>
      <c r="W119" s="40">
        <f t="shared" si="26"/>
        <v>0</v>
      </c>
      <c r="X119" s="4" t="str">
        <f t="shared" si="27"/>
        <v>OK</v>
      </c>
      <c r="Y119" s="30">
        <v>1.6333</v>
      </c>
    </row>
    <row r="120" spans="1:25" x14ac:dyDescent="0.3">
      <c r="A120" s="36" t="s">
        <v>539</v>
      </c>
      <c r="B120" s="16" t="s">
        <v>515</v>
      </c>
      <c r="C120" s="4" t="s">
        <v>188</v>
      </c>
      <c r="D120" s="37">
        <v>0.65</v>
      </c>
      <c r="E120" s="31">
        <v>32</v>
      </c>
      <c r="F120" s="31">
        <v>30</v>
      </c>
      <c r="G120" s="30">
        <f t="shared" si="21"/>
        <v>1.0666666666666667</v>
      </c>
      <c r="H120" s="30">
        <v>1.0667</v>
      </c>
      <c r="I120" s="30">
        <v>1.0667</v>
      </c>
      <c r="J120" s="30">
        <v>1.0667</v>
      </c>
      <c r="K120" s="38">
        <v>1.0667</v>
      </c>
      <c r="L120" s="30">
        <v>1.44</v>
      </c>
      <c r="M120" s="31">
        <v>13</v>
      </c>
      <c r="N120" s="31">
        <v>30</v>
      </c>
      <c r="O120" s="30">
        <f t="shared" si="22"/>
        <v>0.43333333333333335</v>
      </c>
      <c r="P120" s="30">
        <v>0.43330000000000002</v>
      </c>
      <c r="Q120" s="30">
        <v>0.43330000000000002</v>
      </c>
      <c r="R120" s="39">
        <v>1.5</v>
      </c>
      <c r="S120" s="30">
        <v>1.5543</v>
      </c>
      <c r="T120" s="35">
        <f t="shared" si="23"/>
        <v>0</v>
      </c>
      <c r="U120" s="35">
        <f t="shared" si="24"/>
        <v>3.1249999999927169E-5</v>
      </c>
      <c r="V120" s="35">
        <f t="shared" si="25"/>
        <v>1</v>
      </c>
      <c r="W120" s="40">
        <f t="shared" si="26"/>
        <v>0</v>
      </c>
      <c r="X120" s="4" t="str">
        <f t="shared" si="27"/>
        <v>OK</v>
      </c>
      <c r="Y120" s="30">
        <v>1.0667</v>
      </c>
    </row>
    <row r="121" spans="1:25" x14ac:dyDescent="0.3">
      <c r="A121" s="36" t="s">
        <v>542</v>
      </c>
      <c r="B121" s="16" t="s">
        <v>515</v>
      </c>
      <c r="C121" s="4" t="s">
        <v>188</v>
      </c>
      <c r="D121" s="37">
        <v>0.65</v>
      </c>
      <c r="E121" s="31">
        <v>55</v>
      </c>
      <c r="F121" s="31">
        <v>30</v>
      </c>
      <c r="G121" s="30">
        <f t="shared" si="21"/>
        <v>1.8333333333333333</v>
      </c>
      <c r="H121" s="30">
        <v>1.8332999999999999</v>
      </c>
      <c r="I121" s="30">
        <v>1.0506</v>
      </c>
      <c r="J121" s="30">
        <v>1.8332999999999999</v>
      </c>
      <c r="K121" s="38">
        <v>1.8332999999999999</v>
      </c>
      <c r="L121" s="30">
        <v>2.4750000000000001</v>
      </c>
      <c r="M121" s="31">
        <v>23</v>
      </c>
      <c r="N121" s="31">
        <v>30</v>
      </c>
      <c r="O121" s="30">
        <f t="shared" si="22"/>
        <v>0.76666666666666672</v>
      </c>
      <c r="P121" s="30">
        <v>0.76670000000000005</v>
      </c>
      <c r="Q121" s="30">
        <v>0.76670000000000005</v>
      </c>
      <c r="R121" s="39">
        <v>2.6</v>
      </c>
      <c r="S121" s="30">
        <v>2.6827000000000001</v>
      </c>
      <c r="T121" s="35">
        <f t="shared" si="23"/>
        <v>0</v>
      </c>
      <c r="U121" s="35">
        <f t="shared" si="24"/>
        <v>-1.8181818181806086E-5</v>
      </c>
      <c r="V121" s="35">
        <f t="shared" si="25"/>
        <v>1</v>
      </c>
      <c r="W121" s="40">
        <f t="shared" si="26"/>
        <v>0</v>
      </c>
      <c r="X121" s="4" t="str">
        <f t="shared" si="27"/>
        <v>OK</v>
      </c>
      <c r="Y121" s="30">
        <v>1.0506</v>
      </c>
    </row>
    <row r="122" spans="1:25" x14ac:dyDescent="0.3">
      <c r="A122" s="36" t="s">
        <v>545</v>
      </c>
      <c r="B122" s="16" t="s">
        <v>515</v>
      </c>
      <c r="C122" s="4" t="s">
        <v>188</v>
      </c>
      <c r="D122" s="37">
        <v>0.65</v>
      </c>
      <c r="E122" s="31">
        <v>8</v>
      </c>
      <c r="F122" s="31">
        <v>8.6844000000000001</v>
      </c>
      <c r="G122" s="30">
        <f t="shared" si="21"/>
        <v>0.26666666666666666</v>
      </c>
      <c r="H122" s="30">
        <v>0.92120000000000002</v>
      </c>
      <c r="I122" s="30">
        <v>0.59689999999999999</v>
      </c>
      <c r="J122" s="30">
        <v>0.80349999999999999</v>
      </c>
      <c r="K122" s="38">
        <v>0.92120000000000002</v>
      </c>
      <c r="L122" s="30">
        <v>1.2436</v>
      </c>
      <c r="M122" s="31">
        <v>5</v>
      </c>
      <c r="N122" s="31">
        <v>30</v>
      </c>
      <c r="O122" s="30">
        <f t="shared" si="22"/>
        <v>0.16666666666666666</v>
      </c>
      <c r="P122" s="30">
        <v>0.16669999999999999</v>
      </c>
      <c r="Q122" s="30">
        <v>0.16669999999999999</v>
      </c>
      <c r="R122" s="39">
        <v>1.0879000000000001</v>
      </c>
      <c r="S122" s="30">
        <v>1.2638</v>
      </c>
      <c r="T122" s="35">
        <f t="shared" si="23"/>
        <v>0.71052000000000004</v>
      </c>
      <c r="U122" s="35">
        <f t="shared" si="24"/>
        <v>2.4544999999999999</v>
      </c>
      <c r="V122" s="35">
        <f t="shared" si="25"/>
        <v>0.28948000000000002</v>
      </c>
      <c r="W122" s="40">
        <f t="shared" si="26"/>
        <v>21.3156</v>
      </c>
      <c r="X122" s="4" t="str">
        <f t="shared" si="27"/>
        <v>CENSORED - REVIEW ACTIVE DAY</v>
      </c>
      <c r="Y122" s="30">
        <v>0.59689999999999999</v>
      </c>
    </row>
    <row r="123" spans="1:25" x14ac:dyDescent="0.3">
      <c r="A123" s="36" t="s">
        <v>548</v>
      </c>
      <c r="B123" s="16" t="s">
        <v>515</v>
      </c>
      <c r="C123" s="4" t="s">
        <v>188</v>
      </c>
      <c r="D123" s="37">
        <v>0.65</v>
      </c>
      <c r="E123" s="31">
        <v>0</v>
      </c>
      <c r="F123" s="31">
        <v>0</v>
      </c>
      <c r="G123" s="30">
        <f t="shared" si="21"/>
        <v>0</v>
      </c>
      <c r="H123" s="30">
        <v>0</v>
      </c>
      <c r="I123" s="30">
        <v>1.1338999999999999</v>
      </c>
      <c r="J123" s="30">
        <v>1.0349999999999999</v>
      </c>
      <c r="K123" s="38">
        <v>1.1338999999999999</v>
      </c>
      <c r="L123" s="30">
        <v>1.3525</v>
      </c>
      <c r="M123" s="31">
        <v>18</v>
      </c>
      <c r="N123" s="31">
        <v>27.680800000000001</v>
      </c>
      <c r="O123" s="30">
        <f t="shared" si="22"/>
        <v>0.6</v>
      </c>
      <c r="P123" s="30">
        <v>0.65029999999999999</v>
      </c>
      <c r="Q123" s="30">
        <v>0.65029999999999999</v>
      </c>
      <c r="R123" s="39">
        <v>1.7842</v>
      </c>
      <c r="S123" s="30">
        <v>1.6124000000000001</v>
      </c>
      <c r="T123" s="35">
        <f t="shared" si="23"/>
        <v>1</v>
      </c>
      <c r="U123" s="35">
        <f t="shared" si="24"/>
        <v>0</v>
      </c>
      <c r="V123" s="35">
        <f t="shared" si="25"/>
        <v>0</v>
      </c>
      <c r="W123" s="40">
        <f t="shared" si="26"/>
        <v>30</v>
      </c>
      <c r="X123" s="4" t="str">
        <f t="shared" si="27"/>
        <v>CENSORED - REVIEW ACTIVE DAY</v>
      </c>
      <c r="Y123" s="30">
        <v>1.1338999999999999</v>
      </c>
    </row>
    <row r="124" spans="1:25" x14ac:dyDescent="0.3">
      <c r="A124" s="36" t="s">
        <v>551</v>
      </c>
      <c r="B124" s="16" t="s">
        <v>515</v>
      </c>
      <c r="C124" s="4" t="s">
        <v>188</v>
      </c>
      <c r="D124" s="37">
        <v>0.65</v>
      </c>
      <c r="E124" s="31">
        <v>0</v>
      </c>
      <c r="F124" s="31">
        <v>0</v>
      </c>
      <c r="G124" s="30">
        <f t="shared" si="21"/>
        <v>0</v>
      </c>
      <c r="H124" s="30">
        <v>0</v>
      </c>
      <c r="I124" s="30">
        <v>0</v>
      </c>
      <c r="J124" s="30">
        <v>0.48709999999999998</v>
      </c>
      <c r="K124" s="38">
        <v>0.52559999999999996</v>
      </c>
      <c r="L124" s="30">
        <v>0.34160000000000001</v>
      </c>
      <c r="M124" s="31">
        <v>7</v>
      </c>
      <c r="N124" s="31">
        <v>30</v>
      </c>
      <c r="O124" s="30">
        <f t="shared" si="22"/>
        <v>0.23333333333333334</v>
      </c>
      <c r="P124" s="30">
        <v>0.23330000000000001</v>
      </c>
      <c r="Q124" s="30">
        <v>0.23330000000000001</v>
      </c>
      <c r="R124" s="39">
        <v>0.75890000000000002</v>
      </c>
      <c r="S124" s="30">
        <v>0.4647</v>
      </c>
      <c r="T124" s="35">
        <f t="shared" si="23"/>
        <v>1</v>
      </c>
      <c r="U124" s="35">
        <f t="shared" si="24"/>
        <v>0</v>
      </c>
      <c r="V124" s="35">
        <f t="shared" si="25"/>
        <v>0</v>
      </c>
      <c r="W124" s="40">
        <f t="shared" si="26"/>
        <v>30</v>
      </c>
      <c r="X124" s="4" t="str">
        <f t="shared" si="27"/>
        <v>CENSORED - REVIEW ACTIVE DAY</v>
      </c>
      <c r="Y124" s="30">
        <v>0.52559999999999996</v>
      </c>
    </row>
    <row r="125" spans="1:25" x14ac:dyDescent="0.3">
      <c r="A125" s="36" t="s">
        <v>554</v>
      </c>
      <c r="B125" s="16" t="s">
        <v>515</v>
      </c>
      <c r="C125" s="4" t="s">
        <v>184</v>
      </c>
      <c r="D125" s="37">
        <v>0.65</v>
      </c>
      <c r="E125" s="31">
        <v>132</v>
      </c>
      <c r="F125" s="31">
        <v>30</v>
      </c>
      <c r="G125" s="30">
        <f t="shared" si="21"/>
        <v>4.4000000000000004</v>
      </c>
      <c r="H125" s="30">
        <v>4.4000000000000004</v>
      </c>
      <c r="I125" s="30">
        <v>4.5110999999999999</v>
      </c>
      <c r="J125" s="30">
        <v>4.4000000000000004</v>
      </c>
      <c r="K125" s="38">
        <v>4.4000000000000004</v>
      </c>
      <c r="L125" s="30">
        <v>2.2000000000000002</v>
      </c>
      <c r="M125" s="31">
        <v>95</v>
      </c>
      <c r="N125" s="31">
        <v>30</v>
      </c>
      <c r="O125" s="30">
        <f t="shared" si="22"/>
        <v>3.1666666666666665</v>
      </c>
      <c r="P125" s="30">
        <v>3.1667000000000001</v>
      </c>
      <c r="Q125" s="30">
        <v>3.1667000000000001</v>
      </c>
      <c r="R125" s="39">
        <v>7.5667</v>
      </c>
      <c r="S125" s="30">
        <v>2.7105000000000001</v>
      </c>
      <c r="T125" s="35">
        <f t="shared" si="23"/>
        <v>0</v>
      </c>
      <c r="U125" s="35">
        <f t="shared" si="24"/>
        <v>0</v>
      </c>
      <c r="V125" s="35">
        <f t="shared" si="25"/>
        <v>1</v>
      </c>
      <c r="W125" s="40">
        <f t="shared" si="26"/>
        <v>0</v>
      </c>
      <c r="X125" s="4" t="str">
        <f t="shared" si="27"/>
        <v>OK</v>
      </c>
      <c r="Y125" s="30">
        <v>4.5110999999999999</v>
      </c>
    </row>
    <row r="126" spans="1:25" x14ac:dyDescent="0.3">
      <c r="A126" s="36" t="s">
        <v>558</v>
      </c>
      <c r="B126" s="16" t="s">
        <v>515</v>
      </c>
      <c r="C126" s="4" t="s">
        <v>179</v>
      </c>
      <c r="D126" s="37">
        <v>0.65</v>
      </c>
      <c r="E126" s="31">
        <v>185</v>
      </c>
      <c r="F126" s="31">
        <v>30</v>
      </c>
      <c r="G126" s="30">
        <f t="shared" si="21"/>
        <v>6.166666666666667</v>
      </c>
      <c r="H126" s="30">
        <v>6.1666999999999996</v>
      </c>
      <c r="I126" s="30">
        <v>4.9111000000000002</v>
      </c>
      <c r="J126" s="30">
        <v>6.1666999999999996</v>
      </c>
      <c r="K126" s="38">
        <v>6.1666999999999996</v>
      </c>
      <c r="L126" s="30">
        <v>4.1932999999999998</v>
      </c>
      <c r="M126" s="31">
        <v>3</v>
      </c>
      <c r="N126" s="31">
        <v>1.7271000000000001</v>
      </c>
      <c r="O126" s="30">
        <f t="shared" si="22"/>
        <v>0.1</v>
      </c>
      <c r="P126" s="30">
        <v>1.7370000000000001</v>
      </c>
      <c r="Q126" s="30">
        <v>1.7370000000000001</v>
      </c>
      <c r="R126" s="39">
        <v>7.9036999999999997</v>
      </c>
      <c r="S126" s="30">
        <v>4.3564999999999996</v>
      </c>
      <c r="T126" s="35">
        <f t="shared" si="23"/>
        <v>0</v>
      </c>
      <c r="U126" s="35">
        <f t="shared" si="24"/>
        <v>5.4054054052787848E-6</v>
      </c>
      <c r="V126" s="35">
        <f t="shared" si="25"/>
        <v>1</v>
      </c>
      <c r="W126" s="40">
        <f t="shared" si="26"/>
        <v>0</v>
      </c>
      <c r="X126" s="4" t="str">
        <f t="shared" si="27"/>
        <v>OK</v>
      </c>
      <c r="Y126" s="30">
        <v>4.9111000000000002</v>
      </c>
    </row>
    <row r="127" spans="1:25" x14ac:dyDescent="0.3">
      <c r="A127" s="36" t="s">
        <v>561</v>
      </c>
      <c r="B127" s="16" t="s">
        <v>515</v>
      </c>
      <c r="C127" s="4" t="s">
        <v>179</v>
      </c>
      <c r="D127" s="37">
        <v>0.65</v>
      </c>
      <c r="E127" s="31">
        <v>116</v>
      </c>
      <c r="F127" s="31">
        <v>30</v>
      </c>
      <c r="G127" s="30">
        <f t="shared" si="21"/>
        <v>3.8666666666666667</v>
      </c>
      <c r="H127" s="30">
        <v>3.8666999999999998</v>
      </c>
      <c r="I127" s="30">
        <v>3.9777999999999998</v>
      </c>
      <c r="J127" s="30">
        <v>3.8666999999999998</v>
      </c>
      <c r="K127" s="38">
        <v>3.8666999999999998</v>
      </c>
      <c r="L127" s="30">
        <v>2.6293000000000002</v>
      </c>
      <c r="M127" s="31">
        <v>48</v>
      </c>
      <c r="N127" s="31">
        <v>30</v>
      </c>
      <c r="O127" s="30">
        <f t="shared" si="22"/>
        <v>1.6</v>
      </c>
      <c r="P127" s="30">
        <v>1.6</v>
      </c>
      <c r="Q127" s="30">
        <v>1.6</v>
      </c>
      <c r="R127" s="39">
        <v>5.4667000000000003</v>
      </c>
      <c r="S127" s="30">
        <v>2.8454999999999999</v>
      </c>
      <c r="T127" s="35">
        <f t="shared" si="23"/>
        <v>0</v>
      </c>
      <c r="U127" s="35">
        <f t="shared" si="24"/>
        <v>8.6206896550145018E-6</v>
      </c>
      <c r="V127" s="35">
        <f t="shared" si="25"/>
        <v>1</v>
      </c>
      <c r="W127" s="40">
        <f t="shared" si="26"/>
        <v>0</v>
      </c>
      <c r="X127" s="4" t="str">
        <f t="shared" si="27"/>
        <v>OK</v>
      </c>
      <c r="Y127" s="30">
        <v>3.9777999999999998</v>
      </c>
    </row>
    <row r="128" spans="1:25" x14ac:dyDescent="0.3">
      <c r="A128" s="36" t="s">
        <v>564</v>
      </c>
      <c r="B128" s="16" t="s">
        <v>515</v>
      </c>
      <c r="C128" s="4" t="s">
        <v>188</v>
      </c>
      <c r="D128" s="37">
        <v>0.65</v>
      </c>
      <c r="E128" s="31">
        <v>46</v>
      </c>
      <c r="F128" s="31">
        <v>30</v>
      </c>
      <c r="G128" s="30">
        <f t="shared" si="21"/>
        <v>1.5333333333333334</v>
      </c>
      <c r="H128" s="30">
        <v>1.5333000000000001</v>
      </c>
      <c r="I128" s="30">
        <v>1.3448</v>
      </c>
      <c r="J128" s="30">
        <v>1.5333000000000001</v>
      </c>
      <c r="K128" s="38">
        <v>1.5333000000000001</v>
      </c>
      <c r="L128" s="30">
        <v>2.0699999999999998</v>
      </c>
      <c r="M128" s="31">
        <v>25</v>
      </c>
      <c r="N128" s="31">
        <v>30</v>
      </c>
      <c r="O128" s="30">
        <f t="shared" si="22"/>
        <v>0.83333333333333337</v>
      </c>
      <c r="P128" s="30">
        <v>0.83330000000000004</v>
      </c>
      <c r="Q128" s="30">
        <v>0.83330000000000004</v>
      </c>
      <c r="R128" s="39">
        <v>2.3666</v>
      </c>
      <c r="S128" s="30">
        <v>2.3559999999999999</v>
      </c>
      <c r="T128" s="35">
        <f t="shared" si="23"/>
        <v>0</v>
      </c>
      <c r="U128" s="35">
        <f t="shared" si="24"/>
        <v>-2.1739130434794696E-5</v>
      </c>
      <c r="V128" s="35">
        <f t="shared" si="25"/>
        <v>1</v>
      </c>
      <c r="W128" s="40">
        <f t="shared" si="26"/>
        <v>0</v>
      </c>
      <c r="X128" s="4" t="str">
        <f t="shared" si="27"/>
        <v>OK</v>
      </c>
      <c r="Y128" s="30">
        <v>1.3448</v>
      </c>
    </row>
    <row r="129" spans="1:25" x14ac:dyDescent="0.3">
      <c r="A129" s="36" t="s">
        <v>567</v>
      </c>
      <c r="B129" s="16" t="s">
        <v>515</v>
      </c>
      <c r="C129" s="4" t="s">
        <v>188</v>
      </c>
      <c r="D129" s="37">
        <v>0.65</v>
      </c>
      <c r="E129" s="31">
        <v>42</v>
      </c>
      <c r="F129" s="31">
        <v>30</v>
      </c>
      <c r="G129" s="30">
        <f t="shared" si="21"/>
        <v>1.4</v>
      </c>
      <c r="H129" s="30">
        <v>1.4</v>
      </c>
      <c r="I129" s="30">
        <v>1.2891999999999999</v>
      </c>
      <c r="J129" s="30">
        <v>1.4</v>
      </c>
      <c r="K129" s="38">
        <v>1.4</v>
      </c>
      <c r="L129" s="30">
        <v>1.7173</v>
      </c>
      <c r="M129" s="31">
        <v>29</v>
      </c>
      <c r="N129" s="31">
        <v>30</v>
      </c>
      <c r="O129" s="30">
        <f t="shared" si="22"/>
        <v>0.96666666666666667</v>
      </c>
      <c r="P129" s="30">
        <v>0.9667</v>
      </c>
      <c r="Q129" s="30">
        <v>0.9667</v>
      </c>
      <c r="R129" s="39">
        <v>2.3666999999999998</v>
      </c>
      <c r="S129" s="30">
        <v>2.1568999999999998</v>
      </c>
      <c r="T129" s="35">
        <f t="shared" si="23"/>
        <v>0</v>
      </c>
      <c r="U129" s="35">
        <f t="shared" si="24"/>
        <v>0</v>
      </c>
      <c r="V129" s="35">
        <f t="shared" si="25"/>
        <v>1</v>
      </c>
      <c r="W129" s="40">
        <f t="shared" si="26"/>
        <v>0</v>
      </c>
      <c r="X129" s="4" t="str">
        <f t="shared" si="27"/>
        <v>OK</v>
      </c>
      <c r="Y129" s="30">
        <v>1.2891999999999999</v>
      </c>
    </row>
    <row r="130" spans="1:25" x14ac:dyDescent="0.3">
      <c r="A130" s="36" t="s">
        <v>570</v>
      </c>
      <c r="B130" s="16" t="s">
        <v>515</v>
      </c>
      <c r="C130" s="4" t="s">
        <v>188</v>
      </c>
      <c r="D130" s="37">
        <v>0.65</v>
      </c>
      <c r="E130" s="31">
        <v>18</v>
      </c>
      <c r="F130" s="31">
        <v>23.6843</v>
      </c>
      <c r="G130" s="30">
        <f t="shared" si="21"/>
        <v>0.6</v>
      </c>
      <c r="H130" s="30">
        <v>0.76</v>
      </c>
      <c r="I130" s="30">
        <v>0.84840000000000004</v>
      </c>
      <c r="J130" s="30">
        <v>0.82589999999999997</v>
      </c>
      <c r="K130" s="38">
        <v>0.76</v>
      </c>
      <c r="L130" s="30">
        <v>0.94410000000000005</v>
      </c>
      <c r="M130" s="31">
        <v>5</v>
      </c>
      <c r="N130" s="31">
        <v>22</v>
      </c>
      <c r="O130" s="30">
        <f t="shared" si="22"/>
        <v>0.16666666666666666</v>
      </c>
      <c r="P130" s="30">
        <v>0.2273</v>
      </c>
      <c r="Q130" s="30">
        <v>0.2273</v>
      </c>
      <c r="R130" s="39">
        <v>0.98729999999999996</v>
      </c>
      <c r="S130" s="30">
        <v>0.99270000000000003</v>
      </c>
      <c r="T130" s="35">
        <f t="shared" si="23"/>
        <v>0.21052333333333331</v>
      </c>
      <c r="U130" s="35">
        <f t="shared" si="24"/>
        <v>0.26666666666666683</v>
      </c>
      <c r="V130" s="35">
        <f t="shared" si="25"/>
        <v>0.78947666666666672</v>
      </c>
      <c r="W130" s="40">
        <f t="shared" si="26"/>
        <v>6.3156999999999996</v>
      </c>
      <c r="X130" s="4" t="str">
        <f t="shared" si="27"/>
        <v>OK</v>
      </c>
      <c r="Y130" s="30">
        <v>0.84840000000000004</v>
      </c>
    </row>
    <row r="131" spans="1:25" x14ac:dyDescent="0.3">
      <c r="A131" s="36" t="s">
        <v>573</v>
      </c>
      <c r="B131" s="16" t="s">
        <v>515</v>
      </c>
      <c r="C131" s="4" t="s">
        <v>188</v>
      </c>
      <c r="D131" s="37">
        <v>0.65</v>
      </c>
      <c r="E131" s="31">
        <v>32</v>
      </c>
      <c r="F131" s="31">
        <v>30</v>
      </c>
      <c r="G131" s="30">
        <f t="shared" si="21"/>
        <v>1.0666666666666667</v>
      </c>
      <c r="H131" s="30">
        <v>1.0667</v>
      </c>
      <c r="I131" s="30">
        <v>1.2778</v>
      </c>
      <c r="J131" s="30">
        <v>1.0667</v>
      </c>
      <c r="K131" s="38">
        <v>1.0667</v>
      </c>
      <c r="L131" s="30">
        <v>1.4368000000000001</v>
      </c>
      <c r="M131" s="31">
        <v>24</v>
      </c>
      <c r="N131" s="31">
        <v>30</v>
      </c>
      <c r="O131" s="30">
        <f t="shared" si="22"/>
        <v>0.8</v>
      </c>
      <c r="P131" s="30">
        <v>0.8</v>
      </c>
      <c r="Q131" s="30">
        <v>0.8</v>
      </c>
      <c r="R131" s="39">
        <v>1.8667</v>
      </c>
      <c r="S131" s="30">
        <v>1.7622</v>
      </c>
      <c r="T131" s="35">
        <f t="shared" si="23"/>
        <v>0</v>
      </c>
      <c r="U131" s="35">
        <f t="shared" si="24"/>
        <v>3.1249999999927169E-5</v>
      </c>
      <c r="V131" s="35">
        <f t="shared" si="25"/>
        <v>1</v>
      </c>
      <c r="W131" s="40">
        <f t="shared" si="26"/>
        <v>0</v>
      </c>
      <c r="X131" s="4" t="str">
        <f t="shared" si="27"/>
        <v>OK</v>
      </c>
      <c r="Y131" s="30">
        <v>1.2778</v>
      </c>
    </row>
    <row r="132" spans="1:25" x14ac:dyDescent="0.3">
      <c r="A132" s="36" t="s">
        <v>576</v>
      </c>
      <c r="B132" s="16" t="s">
        <v>515</v>
      </c>
      <c r="C132" s="4" t="s">
        <v>188</v>
      </c>
      <c r="D132" s="37">
        <v>0.65</v>
      </c>
      <c r="E132" s="31">
        <v>0</v>
      </c>
      <c r="F132" s="31">
        <v>0</v>
      </c>
      <c r="G132" s="30">
        <f t="shared" si="21"/>
        <v>0</v>
      </c>
      <c r="H132" s="30">
        <v>0</v>
      </c>
      <c r="I132" s="30">
        <v>0</v>
      </c>
      <c r="J132" s="30">
        <v>0.71430000000000005</v>
      </c>
      <c r="K132" s="38">
        <v>0.73629999999999995</v>
      </c>
      <c r="L132" s="30">
        <v>0.47860000000000003</v>
      </c>
      <c r="M132" s="31">
        <v>16</v>
      </c>
      <c r="N132" s="31">
        <v>30</v>
      </c>
      <c r="O132" s="30">
        <f t="shared" si="22"/>
        <v>0.53333333333333333</v>
      </c>
      <c r="P132" s="30">
        <v>0.5333</v>
      </c>
      <c r="Q132" s="30">
        <v>0.5333</v>
      </c>
      <c r="R132" s="39">
        <v>1.2696000000000001</v>
      </c>
      <c r="S132" s="30">
        <v>0.85670000000000002</v>
      </c>
      <c r="T132" s="35">
        <f t="shared" si="23"/>
        <v>1</v>
      </c>
      <c r="U132" s="35">
        <f t="shared" si="24"/>
        <v>0</v>
      </c>
      <c r="V132" s="35">
        <f t="shared" si="25"/>
        <v>0</v>
      </c>
      <c r="W132" s="40">
        <f t="shared" si="26"/>
        <v>30</v>
      </c>
      <c r="X132" s="4" t="str">
        <f t="shared" si="27"/>
        <v>CENSORED - REVIEW ACTIVE DAY</v>
      </c>
      <c r="Y132" s="30">
        <v>0.73629999999999995</v>
      </c>
    </row>
    <row r="133" spans="1:25" x14ac:dyDescent="0.3">
      <c r="A133" s="36" t="s">
        <v>579</v>
      </c>
      <c r="B133" s="16" t="s">
        <v>515</v>
      </c>
      <c r="C133" s="4" t="s">
        <v>188</v>
      </c>
      <c r="D133" s="37">
        <v>0.65</v>
      </c>
      <c r="E133" s="31">
        <v>36</v>
      </c>
      <c r="F133" s="31">
        <v>30</v>
      </c>
      <c r="G133" s="30">
        <f t="shared" ref="G133:G164" si="28">E133/30</f>
        <v>1.2</v>
      </c>
      <c r="H133" s="30">
        <v>1.2</v>
      </c>
      <c r="I133" s="30">
        <v>1.0889</v>
      </c>
      <c r="J133" s="30">
        <v>1.2</v>
      </c>
      <c r="K133" s="38">
        <v>1.2</v>
      </c>
      <c r="L133" s="30">
        <v>1.0001</v>
      </c>
      <c r="M133" s="31">
        <v>18</v>
      </c>
      <c r="N133" s="31">
        <v>30</v>
      </c>
      <c r="O133" s="30">
        <f t="shared" ref="O133:O164" si="29">M133/30</f>
        <v>0.6</v>
      </c>
      <c r="P133" s="30">
        <v>0.6</v>
      </c>
      <c r="Q133" s="30">
        <v>0.6</v>
      </c>
      <c r="R133" s="39">
        <v>1.8</v>
      </c>
      <c r="S133" s="30">
        <v>1.2378</v>
      </c>
      <c r="T133" s="35">
        <f t="shared" ref="T133:T164" si="30">MAX(0,(30-F133)/30)</f>
        <v>0</v>
      </c>
      <c r="U133" s="35">
        <f t="shared" ref="U133:U164" si="31">IF(G133&gt;0,K133/G133-1,0)</f>
        <v>0</v>
      </c>
      <c r="V133" s="35">
        <f t="shared" ref="V133:V164" si="32">F133/30</f>
        <v>1</v>
      </c>
      <c r="W133" s="40">
        <f t="shared" ref="W133:W164" si="33">MAX(0,30-F133)</f>
        <v>0</v>
      </c>
      <c r="X133" s="4" t="str">
        <f t="shared" ref="X133:X164" si="34">IF(F133&lt;20,"CENSORED - REVIEW ACTIVE DAY","OK")</f>
        <v>OK</v>
      </c>
      <c r="Y133" s="30">
        <v>1.0889</v>
      </c>
    </row>
    <row r="134" spans="1:25" x14ac:dyDescent="0.3">
      <c r="A134" s="36" t="s">
        <v>582</v>
      </c>
      <c r="B134" s="16" t="s">
        <v>515</v>
      </c>
      <c r="C134" s="4" t="s">
        <v>188</v>
      </c>
      <c r="D134" s="37">
        <v>0.65</v>
      </c>
      <c r="E134" s="31">
        <v>0</v>
      </c>
      <c r="F134" s="31">
        <v>0</v>
      </c>
      <c r="G134" s="30">
        <f t="shared" si="28"/>
        <v>0</v>
      </c>
      <c r="H134" s="30">
        <v>0</v>
      </c>
      <c r="I134" s="30">
        <v>0.26750000000000002</v>
      </c>
      <c r="J134" s="30">
        <v>0.51949999999999996</v>
      </c>
      <c r="K134" s="38">
        <v>0.26750000000000002</v>
      </c>
      <c r="L134" s="30">
        <v>0.36120000000000002</v>
      </c>
      <c r="M134" s="31">
        <v>11</v>
      </c>
      <c r="N134" s="31">
        <v>30</v>
      </c>
      <c r="O134" s="30">
        <f t="shared" si="29"/>
        <v>0.36666666666666664</v>
      </c>
      <c r="P134" s="30">
        <v>0.36670000000000003</v>
      </c>
      <c r="Q134" s="30">
        <v>0.36670000000000003</v>
      </c>
      <c r="R134" s="39">
        <v>0.63419999999999999</v>
      </c>
      <c r="S134" s="30">
        <v>0.61280000000000001</v>
      </c>
      <c r="T134" s="35">
        <f t="shared" si="30"/>
        <v>1</v>
      </c>
      <c r="U134" s="35">
        <f t="shared" si="31"/>
        <v>0</v>
      </c>
      <c r="V134" s="35">
        <f t="shared" si="32"/>
        <v>0</v>
      </c>
      <c r="W134" s="40">
        <f t="shared" si="33"/>
        <v>30</v>
      </c>
      <c r="X134" s="4" t="str">
        <f t="shared" si="34"/>
        <v>CENSORED - REVIEW ACTIVE DAY</v>
      </c>
      <c r="Y134" s="30">
        <v>0.26750000000000002</v>
      </c>
    </row>
    <row r="135" spans="1:25" x14ac:dyDescent="0.3">
      <c r="A135" s="36" t="s">
        <v>585</v>
      </c>
      <c r="B135" s="16" t="s">
        <v>515</v>
      </c>
      <c r="C135" s="4" t="s">
        <v>188</v>
      </c>
      <c r="D135" s="37">
        <v>0.65</v>
      </c>
      <c r="E135" s="31">
        <v>0</v>
      </c>
      <c r="F135" s="31">
        <v>0</v>
      </c>
      <c r="G135" s="30">
        <f t="shared" si="28"/>
        <v>0</v>
      </c>
      <c r="H135" s="30">
        <v>0</v>
      </c>
      <c r="I135" s="30">
        <v>0</v>
      </c>
      <c r="J135" s="30">
        <v>0.69</v>
      </c>
      <c r="K135" s="38">
        <v>0.65790000000000004</v>
      </c>
      <c r="L135" s="30">
        <v>0.42759999999999998</v>
      </c>
      <c r="M135" s="31">
        <v>14</v>
      </c>
      <c r="N135" s="31">
        <v>30</v>
      </c>
      <c r="O135" s="30">
        <f t="shared" si="29"/>
        <v>0.46666666666666667</v>
      </c>
      <c r="P135" s="30">
        <v>0.4667</v>
      </c>
      <c r="Q135" s="30">
        <v>0.4667</v>
      </c>
      <c r="R135" s="39">
        <v>1.1246</v>
      </c>
      <c r="S135" s="30">
        <v>0.76139999999999997</v>
      </c>
      <c r="T135" s="35">
        <f t="shared" si="30"/>
        <v>1</v>
      </c>
      <c r="U135" s="35">
        <f t="shared" si="31"/>
        <v>0</v>
      </c>
      <c r="V135" s="35">
        <f t="shared" si="32"/>
        <v>0</v>
      </c>
      <c r="W135" s="40">
        <f t="shared" si="33"/>
        <v>30</v>
      </c>
      <c r="X135" s="4" t="str">
        <f t="shared" si="34"/>
        <v>CENSORED - REVIEW ACTIVE DAY</v>
      </c>
      <c r="Y135" s="30">
        <v>0.65790000000000004</v>
      </c>
    </row>
    <row r="136" spans="1:25" x14ac:dyDescent="0.3">
      <c r="A136" s="36" t="s">
        <v>588</v>
      </c>
      <c r="B136" s="16" t="s">
        <v>515</v>
      </c>
      <c r="C136" s="4" t="s">
        <v>188</v>
      </c>
      <c r="D136" s="37">
        <v>0.65</v>
      </c>
      <c r="E136" s="31">
        <v>2</v>
      </c>
      <c r="F136" s="31">
        <v>0.91339999999999999</v>
      </c>
      <c r="G136" s="30">
        <f t="shared" si="28"/>
        <v>6.6666666666666666E-2</v>
      </c>
      <c r="H136" s="30">
        <v>2.1896</v>
      </c>
      <c r="I136" s="30">
        <v>0.32829999999999998</v>
      </c>
      <c r="J136" s="30">
        <v>0.32469999999999999</v>
      </c>
      <c r="K136" s="38">
        <v>2.1896</v>
      </c>
      <c r="L136" s="30">
        <v>2.956</v>
      </c>
      <c r="M136" s="31">
        <v>5</v>
      </c>
      <c r="N136" s="31">
        <v>30</v>
      </c>
      <c r="O136" s="30">
        <f t="shared" si="29"/>
        <v>0.16666666666666666</v>
      </c>
      <c r="P136" s="30">
        <v>0.16669999999999999</v>
      </c>
      <c r="Q136" s="30">
        <v>0.16669999999999999</v>
      </c>
      <c r="R136" s="39">
        <v>2.3563000000000001</v>
      </c>
      <c r="S136" s="30">
        <v>2.9645999999999999</v>
      </c>
      <c r="T136" s="35">
        <f t="shared" si="30"/>
        <v>0.96955333333333338</v>
      </c>
      <c r="U136" s="35">
        <f t="shared" si="31"/>
        <v>31.844000000000001</v>
      </c>
      <c r="V136" s="35">
        <f t="shared" si="32"/>
        <v>3.0446666666666667E-2</v>
      </c>
      <c r="W136" s="40">
        <f t="shared" si="33"/>
        <v>29.086600000000001</v>
      </c>
      <c r="X136" s="4" t="str">
        <f t="shared" si="34"/>
        <v>CENSORED - REVIEW ACTIVE DAY</v>
      </c>
      <c r="Y136" s="30">
        <v>0.32829999999999998</v>
      </c>
    </row>
    <row r="137" spans="1:25" x14ac:dyDescent="0.3">
      <c r="A137" s="36" t="s">
        <v>591</v>
      </c>
      <c r="B137" s="16" t="s">
        <v>592</v>
      </c>
      <c r="C137" s="4" t="s">
        <v>184</v>
      </c>
      <c r="D137" s="37">
        <v>0.55000000000000004</v>
      </c>
      <c r="E137" s="31">
        <v>187</v>
      </c>
      <c r="F137" s="31">
        <v>30</v>
      </c>
      <c r="G137" s="30">
        <f t="shared" si="28"/>
        <v>6.2333333333333334</v>
      </c>
      <c r="H137" s="30">
        <v>6.2332999999999998</v>
      </c>
      <c r="I137" s="30">
        <v>6.2222</v>
      </c>
      <c r="J137" s="30">
        <v>6.2332999999999998</v>
      </c>
      <c r="K137" s="38">
        <v>6.2332999999999998</v>
      </c>
      <c r="L137" s="30">
        <v>3.1166999999999998</v>
      </c>
      <c r="M137" s="31">
        <v>0</v>
      </c>
      <c r="N137" s="31">
        <v>0</v>
      </c>
      <c r="O137" s="30">
        <f t="shared" si="29"/>
        <v>0</v>
      </c>
      <c r="P137" s="30">
        <v>0</v>
      </c>
      <c r="Q137" s="30">
        <v>4.5145</v>
      </c>
      <c r="R137" s="39">
        <v>10.7478</v>
      </c>
      <c r="S137" s="30">
        <v>3.8483000000000001</v>
      </c>
      <c r="T137" s="35">
        <f t="shared" si="30"/>
        <v>0</v>
      </c>
      <c r="U137" s="35">
        <f t="shared" si="31"/>
        <v>-5.3475935829494503E-6</v>
      </c>
      <c r="V137" s="35">
        <f t="shared" si="32"/>
        <v>1</v>
      </c>
      <c r="W137" s="40">
        <f t="shared" si="33"/>
        <v>0</v>
      </c>
      <c r="X137" s="4" t="str">
        <f t="shared" si="34"/>
        <v>OK</v>
      </c>
      <c r="Y137" s="30">
        <v>6.2222</v>
      </c>
    </row>
    <row r="138" spans="1:25" x14ac:dyDescent="0.3">
      <c r="A138" s="36" t="s">
        <v>599</v>
      </c>
      <c r="B138" s="16" t="s">
        <v>592</v>
      </c>
      <c r="C138" s="4" t="s">
        <v>184</v>
      </c>
      <c r="D138" s="37">
        <v>0.55000000000000004</v>
      </c>
      <c r="E138" s="31">
        <v>142</v>
      </c>
      <c r="F138" s="31">
        <v>30</v>
      </c>
      <c r="G138" s="30">
        <f t="shared" si="28"/>
        <v>4.7333333333333334</v>
      </c>
      <c r="H138" s="30">
        <v>4.7332999999999998</v>
      </c>
      <c r="I138" s="30">
        <v>4.3444000000000003</v>
      </c>
      <c r="J138" s="30">
        <v>4.7332999999999998</v>
      </c>
      <c r="K138" s="38">
        <v>4.7332999999999998</v>
      </c>
      <c r="L138" s="30">
        <v>2.3666999999999998</v>
      </c>
      <c r="M138" s="31">
        <v>97</v>
      </c>
      <c r="N138" s="31">
        <v>28.824000000000002</v>
      </c>
      <c r="O138" s="30">
        <f t="shared" si="29"/>
        <v>3.2333333333333334</v>
      </c>
      <c r="P138" s="30">
        <v>3.3653</v>
      </c>
      <c r="Q138" s="30">
        <v>3.3653</v>
      </c>
      <c r="R138" s="39">
        <v>8.0985999999999994</v>
      </c>
      <c r="S138" s="30">
        <v>2.9039000000000001</v>
      </c>
      <c r="T138" s="35">
        <f t="shared" si="30"/>
        <v>0</v>
      </c>
      <c r="U138" s="35">
        <f t="shared" si="31"/>
        <v>-7.0422535212166792E-6</v>
      </c>
      <c r="V138" s="35">
        <f t="shared" si="32"/>
        <v>1</v>
      </c>
      <c r="W138" s="40">
        <f t="shared" si="33"/>
        <v>0</v>
      </c>
      <c r="X138" s="4" t="str">
        <f t="shared" si="34"/>
        <v>OK</v>
      </c>
      <c r="Y138" s="30">
        <v>4.3444000000000003</v>
      </c>
    </row>
    <row r="139" spans="1:25" x14ac:dyDescent="0.3">
      <c r="A139" s="36" t="s">
        <v>603</v>
      </c>
      <c r="B139" s="16" t="s">
        <v>592</v>
      </c>
      <c r="C139" s="4" t="s">
        <v>184</v>
      </c>
      <c r="D139" s="37">
        <v>0.55000000000000004</v>
      </c>
      <c r="E139" s="31">
        <v>106</v>
      </c>
      <c r="F139" s="31">
        <v>30</v>
      </c>
      <c r="G139" s="30">
        <f t="shared" si="28"/>
        <v>3.5333333333333332</v>
      </c>
      <c r="H139" s="30">
        <v>3.5333000000000001</v>
      </c>
      <c r="I139" s="30">
        <v>3.3778000000000001</v>
      </c>
      <c r="J139" s="30">
        <v>3.5333000000000001</v>
      </c>
      <c r="K139" s="38">
        <v>3.5333000000000001</v>
      </c>
      <c r="L139" s="30">
        <v>1.7666999999999999</v>
      </c>
      <c r="M139" s="31">
        <v>80</v>
      </c>
      <c r="N139" s="31">
        <v>29</v>
      </c>
      <c r="O139" s="30">
        <f t="shared" si="29"/>
        <v>2.6666666666666665</v>
      </c>
      <c r="P139" s="30">
        <v>2.7585999999999999</v>
      </c>
      <c r="Q139" s="30">
        <v>2.7585999999999999</v>
      </c>
      <c r="R139" s="39">
        <v>6.2919</v>
      </c>
      <c r="S139" s="30">
        <v>2.2414000000000001</v>
      </c>
      <c r="T139" s="35">
        <f t="shared" si="30"/>
        <v>0</v>
      </c>
      <c r="U139" s="35">
        <f t="shared" si="31"/>
        <v>-9.4339622640493559E-6</v>
      </c>
      <c r="V139" s="35">
        <f t="shared" si="32"/>
        <v>1</v>
      </c>
      <c r="W139" s="40">
        <f t="shared" si="33"/>
        <v>0</v>
      </c>
      <c r="X139" s="4" t="str">
        <f t="shared" si="34"/>
        <v>OK</v>
      </c>
      <c r="Y139" s="30">
        <v>3.3778000000000001</v>
      </c>
    </row>
    <row r="140" spans="1:25" x14ac:dyDescent="0.3">
      <c r="A140" s="36" t="s">
        <v>606</v>
      </c>
      <c r="B140" s="16" t="s">
        <v>592</v>
      </c>
      <c r="C140" s="4" t="s">
        <v>179</v>
      </c>
      <c r="D140" s="37">
        <v>0.55000000000000004</v>
      </c>
      <c r="E140" s="31">
        <v>92</v>
      </c>
      <c r="F140" s="31">
        <v>29.738399999999999</v>
      </c>
      <c r="G140" s="30">
        <f t="shared" si="28"/>
        <v>3.0666666666666669</v>
      </c>
      <c r="H140" s="30">
        <v>3.0935999999999999</v>
      </c>
      <c r="I140" s="30">
        <v>2.9306999999999999</v>
      </c>
      <c r="J140" s="30">
        <v>1.5330999999999999</v>
      </c>
      <c r="K140" s="38">
        <v>3.0935999999999999</v>
      </c>
      <c r="L140" s="30">
        <v>1.8591</v>
      </c>
      <c r="M140" s="31">
        <v>53</v>
      </c>
      <c r="N140" s="31">
        <v>30</v>
      </c>
      <c r="O140" s="30">
        <f t="shared" si="29"/>
        <v>1.7666666666666666</v>
      </c>
      <c r="P140" s="30">
        <v>1.7666999999999999</v>
      </c>
      <c r="Q140" s="30">
        <v>1.7666999999999999</v>
      </c>
      <c r="R140" s="39">
        <v>4.8602999999999996</v>
      </c>
      <c r="S140" s="30">
        <v>2.2134999999999998</v>
      </c>
      <c r="T140" s="35">
        <f t="shared" si="30"/>
        <v>8.7200000000000454E-3</v>
      </c>
      <c r="U140" s="35">
        <f t="shared" si="31"/>
        <v>8.7826086956521721E-3</v>
      </c>
      <c r="V140" s="35">
        <f t="shared" si="32"/>
        <v>0.99127999999999994</v>
      </c>
      <c r="W140" s="40">
        <f t="shared" si="33"/>
        <v>0.26160000000000139</v>
      </c>
      <c r="X140" s="4" t="str">
        <f t="shared" si="34"/>
        <v>OK</v>
      </c>
      <c r="Y140" s="30">
        <v>2.9306999999999999</v>
      </c>
    </row>
    <row r="141" spans="1:25" x14ac:dyDescent="0.3">
      <c r="A141" s="36" t="s">
        <v>609</v>
      </c>
      <c r="B141" s="16" t="s">
        <v>592</v>
      </c>
      <c r="C141" s="4" t="s">
        <v>184</v>
      </c>
      <c r="D141" s="37">
        <v>0.55000000000000004</v>
      </c>
      <c r="E141" s="31">
        <v>87</v>
      </c>
      <c r="F141" s="31">
        <v>30</v>
      </c>
      <c r="G141" s="30">
        <f t="shared" si="28"/>
        <v>2.9</v>
      </c>
      <c r="H141" s="30">
        <v>2.9</v>
      </c>
      <c r="I141" s="30">
        <v>2.6888999999999998</v>
      </c>
      <c r="J141" s="30">
        <v>2.9</v>
      </c>
      <c r="K141" s="38">
        <v>2.9</v>
      </c>
      <c r="L141" s="30">
        <v>1.45</v>
      </c>
      <c r="M141" s="31">
        <v>52</v>
      </c>
      <c r="N141" s="31">
        <v>30</v>
      </c>
      <c r="O141" s="30">
        <f t="shared" si="29"/>
        <v>1.7333333333333334</v>
      </c>
      <c r="P141" s="30">
        <v>1.7333000000000001</v>
      </c>
      <c r="Q141" s="30">
        <v>1.7333000000000001</v>
      </c>
      <c r="R141" s="39">
        <v>4.6333000000000002</v>
      </c>
      <c r="S141" s="30">
        <v>1.6893</v>
      </c>
      <c r="T141" s="35">
        <f t="shared" si="30"/>
        <v>0</v>
      </c>
      <c r="U141" s="35">
        <f t="shared" si="31"/>
        <v>0</v>
      </c>
      <c r="V141" s="35">
        <f t="shared" si="32"/>
        <v>1</v>
      </c>
      <c r="W141" s="40">
        <f t="shared" si="33"/>
        <v>0</v>
      </c>
      <c r="X141" s="4" t="str">
        <f t="shared" si="34"/>
        <v>OK</v>
      </c>
      <c r="Y141" s="30">
        <v>2.6888999999999998</v>
      </c>
    </row>
    <row r="142" spans="1:25" x14ac:dyDescent="0.3">
      <c r="A142" s="36" t="s">
        <v>612</v>
      </c>
      <c r="B142" s="16" t="s">
        <v>592</v>
      </c>
      <c r="C142" s="4" t="s">
        <v>188</v>
      </c>
      <c r="D142" s="37">
        <v>0.55000000000000004</v>
      </c>
      <c r="E142" s="31">
        <v>58</v>
      </c>
      <c r="F142" s="31">
        <v>30</v>
      </c>
      <c r="G142" s="30">
        <f t="shared" si="28"/>
        <v>1.9333333333333333</v>
      </c>
      <c r="H142" s="30">
        <v>1.9333</v>
      </c>
      <c r="I142" s="30">
        <v>1.3939999999999999</v>
      </c>
      <c r="J142" s="30">
        <v>1.9333</v>
      </c>
      <c r="K142" s="38">
        <v>1.9333</v>
      </c>
      <c r="L142" s="30">
        <v>2.1949000000000001</v>
      </c>
      <c r="M142" s="31">
        <v>37</v>
      </c>
      <c r="N142" s="31">
        <v>28.7822</v>
      </c>
      <c r="O142" s="30">
        <f t="shared" si="29"/>
        <v>1.2333333333333334</v>
      </c>
      <c r="P142" s="30">
        <v>1.2855000000000001</v>
      </c>
      <c r="Q142" s="30">
        <v>1.2855000000000001</v>
      </c>
      <c r="R142" s="39">
        <v>3.2187999999999999</v>
      </c>
      <c r="S142" s="30">
        <v>2.7259000000000002</v>
      </c>
      <c r="T142" s="35">
        <f t="shared" si="30"/>
        <v>0</v>
      </c>
      <c r="U142" s="35">
        <f t="shared" si="31"/>
        <v>-1.724137931036207E-5</v>
      </c>
      <c r="V142" s="35">
        <f t="shared" si="32"/>
        <v>1</v>
      </c>
      <c r="W142" s="40">
        <f t="shared" si="33"/>
        <v>0</v>
      </c>
      <c r="X142" s="4" t="str">
        <f t="shared" si="34"/>
        <v>OK</v>
      </c>
      <c r="Y142" s="30">
        <v>1.3939999999999999</v>
      </c>
    </row>
    <row r="143" spans="1:25" x14ac:dyDescent="0.3">
      <c r="A143" s="36" t="s">
        <v>615</v>
      </c>
      <c r="B143" s="16" t="s">
        <v>592</v>
      </c>
      <c r="C143" s="4" t="s">
        <v>184</v>
      </c>
      <c r="D143" s="37">
        <v>0.55000000000000004</v>
      </c>
      <c r="E143" s="31">
        <v>62</v>
      </c>
      <c r="F143" s="31">
        <v>30</v>
      </c>
      <c r="G143" s="30">
        <f t="shared" si="28"/>
        <v>2.0666666666666669</v>
      </c>
      <c r="H143" s="30">
        <v>2.0667</v>
      </c>
      <c r="I143" s="30">
        <v>1.8458000000000001</v>
      </c>
      <c r="J143" s="30">
        <v>2.0667</v>
      </c>
      <c r="K143" s="38">
        <v>2.0667</v>
      </c>
      <c r="L143" s="30">
        <v>1.0333000000000001</v>
      </c>
      <c r="M143" s="31">
        <v>54</v>
      </c>
      <c r="N143" s="31">
        <v>30</v>
      </c>
      <c r="O143" s="30">
        <f t="shared" si="29"/>
        <v>1.8</v>
      </c>
      <c r="P143" s="30">
        <v>1.8</v>
      </c>
      <c r="Q143" s="30">
        <v>1.8</v>
      </c>
      <c r="R143" s="39">
        <v>3.8666999999999998</v>
      </c>
      <c r="S143" s="30">
        <v>1.3703000000000001</v>
      </c>
      <c r="T143" s="35">
        <f t="shared" si="30"/>
        <v>0</v>
      </c>
      <c r="U143" s="35">
        <f t="shared" si="31"/>
        <v>1.6129032258005438E-5</v>
      </c>
      <c r="V143" s="35">
        <f t="shared" si="32"/>
        <v>1</v>
      </c>
      <c r="W143" s="40">
        <f t="shared" si="33"/>
        <v>0</v>
      </c>
      <c r="X143" s="4" t="str">
        <f t="shared" si="34"/>
        <v>OK</v>
      </c>
      <c r="Y143" s="30">
        <v>1.8458000000000001</v>
      </c>
    </row>
    <row r="144" spans="1:25" x14ac:dyDescent="0.3">
      <c r="A144" s="36" t="s">
        <v>618</v>
      </c>
      <c r="B144" s="16" t="s">
        <v>592</v>
      </c>
      <c r="C144" s="4" t="s">
        <v>188</v>
      </c>
      <c r="D144" s="37">
        <v>0.55000000000000004</v>
      </c>
      <c r="E144" s="31">
        <v>36</v>
      </c>
      <c r="F144" s="31">
        <v>30</v>
      </c>
      <c r="G144" s="30">
        <f t="shared" si="28"/>
        <v>1.2</v>
      </c>
      <c r="H144" s="30">
        <v>1.2</v>
      </c>
      <c r="I144" s="30">
        <v>1.0333000000000001</v>
      </c>
      <c r="J144" s="30">
        <v>1.2</v>
      </c>
      <c r="K144" s="38">
        <v>1.2</v>
      </c>
      <c r="L144" s="30">
        <v>1.62</v>
      </c>
      <c r="M144" s="31">
        <v>30</v>
      </c>
      <c r="N144" s="31">
        <v>30</v>
      </c>
      <c r="O144" s="30">
        <f t="shared" si="29"/>
        <v>1</v>
      </c>
      <c r="P144" s="30">
        <v>1</v>
      </c>
      <c r="Q144" s="30">
        <v>1</v>
      </c>
      <c r="R144" s="39">
        <v>2.2000000000000002</v>
      </c>
      <c r="S144" s="30">
        <v>2.0226999999999999</v>
      </c>
      <c r="T144" s="35">
        <f t="shared" si="30"/>
        <v>0</v>
      </c>
      <c r="U144" s="35">
        <f t="shared" si="31"/>
        <v>0</v>
      </c>
      <c r="V144" s="35">
        <f t="shared" si="32"/>
        <v>1</v>
      </c>
      <c r="W144" s="40">
        <f t="shared" si="33"/>
        <v>0</v>
      </c>
      <c r="X144" s="4" t="str">
        <f t="shared" si="34"/>
        <v>OK</v>
      </c>
      <c r="Y144" s="30">
        <v>1.0333000000000001</v>
      </c>
    </row>
    <row r="145" spans="1:25" x14ac:dyDescent="0.3">
      <c r="A145" s="36" t="s">
        <v>621</v>
      </c>
      <c r="B145" s="16" t="s">
        <v>592</v>
      </c>
      <c r="C145" s="4" t="s">
        <v>184</v>
      </c>
      <c r="D145" s="37">
        <v>0.55000000000000004</v>
      </c>
      <c r="E145" s="31">
        <v>164</v>
      </c>
      <c r="F145" s="31">
        <v>30</v>
      </c>
      <c r="G145" s="30">
        <f t="shared" si="28"/>
        <v>5.4666666666666668</v>
      </c>
      <c r="H145" s="30">
        <v>5.4667000000000003</v>
      </c>
      <c r="I145" s="30">
        <v>4.9222000000000001</v>
      </c>
      <c r="J145" s="30">
        <v>5.4667000000000003</v>
      </c>
      <c r="K145" s="38">
        <v>5.4667000000000003</v>
      </c>
      <c r="L145" s="30">
        <v>2.7332999999999998</v>
      </c>
      <c r="M145" s="31">
        <v>88</v>
      </c>
      <c r="N145" s="31">
        <v>22</v>
      </c>
      <c r="O145" s="30">
        <f t="shared" si="29"/>
        <v>2.9333333333333331</v>
      </c>
      <c r="P145" s="30">
        <v>4</v>
      </c>
      <c r="Q145" s="30">
        <v>4</v>
      </c>
      <c r="R145" s="39">
        <v>9.4666999999999994</v>
      </c>
      <c r="S145" s="30">
        <v>3.3868999999999998</v>
      </c>
      <c r="T145" s="35">
        <f t="shared" si="30"/>
        <v>0</v>
      </c>
      <c r="U145" s="35">
        <f t="shared" si="31"/>
        <v>6.0975609756930282E-6</v>
      </c>
      <c r="V145" s="35">
        <f t="shared" si="32"/>
        <v>1</v>
      </c>
      <c r="W145" s="40">
        <f t="shared" si="33"/>
        <v>0</v>
      </c>
      <c r="X145" s="4" t="str">
        <f t="shared" si="34"/>
        <v>OK</v>
      </c>
      <c r="Y145" s="30">
        <v>4.9222000000000001</v>
      </c>
    </row>
    <row r="146" spans="1:25" x14ac:dyDescent="0.3">
      <c r="A146" s="36" t="s">
        <v>624</v>
      </c>
      <c r="B146" s="16" t="s">
        <v>592</v>
      </c>
      <c r="C146" s="4" t="s">
        <v>184</v>
      </c>
      <c r="D146" s="37">
        <v>0.55000000000000004</v>
      </c>
      <c r="E146" s="31">
        <v>65</v>
      </c>
      <c r="F146" s="31">
        <v>30</v>
      </c>
      <c r="G146" s="30">
        <f t="shared" si="28"/>
        <v>2.1666666666666665</v>
      </c>
      <c r="H146" s="30">
        <v>2.1667000000000001</v>
      </c>
      <c r="I146" s="30">
        <v>2.2111000000000001</v>
      </c>
      <c r="J146" s="30">
        <v>2.1667000000000001</v>
      </c>
      <c r="K146" s="38">
        <v>2.1667000000000001</v>
      </c>
      <c r="L146" s="30">
        <v>1.0832999999999999</v>
      </c>
      <c r="M146" s="31">
        <v>38</v>
      </c>
      <c r="N146" s="31">
        <v>17.842600000000001</v>
      </c>
      <c r="O146" s="30">
        <f t="shared" si="29"/>
        <v>1.2666666666666666</v>
      </c>
      <c r="P146" s="30">
        <v>2.1297000000000001</v>
      </c>
      <c r="Q146" s="30">
        <v>2.1297000000000001</v>
      </c>
      <c r="R146" s="39">
        <v>4.2964000000000002</v>
      </c>
      <c r="S146" s="30">
        <v>1.5190999999999999</v>
      </c>
      <c r="T146" s="35">
        <f t="shared" si="30"/>
        <v>0</v>
      </c>
      <c r="U146" s="35">
        <f t="shared" si="31"/>
        <v>1.5384615384750333E-5</v>
      </c>
      <c r="V146" s="35">
        <f t="shared" si="32"/>
        <v>1</v>
      </c>
      <c r="W146" s="40">
        <f t="shared" si="33"/>
        <v>0</v>
      </c>
      <c r="X146" s="4" t="str">
        <f t="shared" si="34"/>
        <v>OK</v>
      </c>
      <c r="Y146" s="30">
        <v>2.2111000000000001</v>
      </c>
    </row>
    <row r="147" spans="1:25" x14ac:dyDescent="0.3">
      <c r="A147" s="36" t="s">
        <v>627</v>
      </c>
      <c r="B147" s="16" t="s">
        <v>592</v>
      </c>
      <c r="C147" s="4" t="s">
        <v>184</v>
      </c>
      <c r="D147" s="37">
        <v>0.55000000000000004</v>
      </c>
      <c r="E147" s="31">
        <v>45</v>
      </c>
      <c r="F147" s="31">
        <v>30</v>
      </c>
      <c r="G147" s="30">
        <f t="shared" si="28"/>
        <v>1.5</v>
      </c>
      <c r="H147" s="30">
        <v>1.5</v>
      </c>
      <c r="I147" s="30">
        <v>1.5778000000000001</v>
      </c>
      <c r="J147" s="30">
        <v>1.5</v>
      </c>
      <c r="K147" s="38">
        <v>1.5</v>
      </c>
      <c r="L147" s="30">
        <v>0.75</v>
      </c>
      <c r="M147" s="31">
        <v>39</v>
      </c>
      <c r="N147" s="31">
        <v>30</v>
      </c>
      <c r="O147" s="30">
        <f t="shared" si="29"/>
        <v>1.3</v>
      </c>
      <c r="P147" s="30">
        <v>1.3</v>
      </c>
      <c r="Q147" s="30">
        <v>1.3</v>
      </c>
      <c r="R147" s="39">
        <v>2.8</v>
      </c>
      <c r="S147" s="30">
        <v>0.99250000000000005</v>
      </c>
      <c r="T147" s="35">
        <f t="shared" si="30"/>
        <v>0</v>
      </c>
      <c r="U147" s="35">
        <f t="shared" si="31"/>
        <v>0</v>
      </c>
      <c r="V147" s="35">
        <f t="shared" si="32"/>
        <v>1</v>
      </c>
      <c r="W147" s="40">
        <f t="shared" si="33"/>
        <v>0</v>
      </c>
      <c r="X147" s="4" t="str">
        <f t="shared" si="34"/>
        <v>OK</v>
      </c>
      <c r="Y147" s="30">
        <v>1.5778000000000001</v>
      </c>
    </row>
    <row r="148" spans="1:25" x14ac:dyDescent="0.3">
      <c r="A148" s="36" t="s">
        <v>630</v>
      </c>
      <c r="B148" s="16" t="s">
        <v>592</v>
      </c>
      <c r="C148" s="4" t="s">
        <v>188</v>
      </c>
      <c r="D148" s="37">
        <v>0.55000000000000004</v>
      </c>
      <c r="E148" s="31">
        <v>23</v>
      </c>
      <c r="F148" s="31">
        <v>30</v>
      </c>
      <c r="G148" s="30">
        <f t="shared" si="28"/>
        <v>0.76666666666666672</v>
      </c>
      <c r="H148" s="30">
        <v>0.76670000000000005</v>
      </c>
      <c r="I148" s="30">
        <v>0.86670000000000003</v>
      </c>
      <c r="J148" s="30">
        <v>0.76670000000000005</v>
      </c>
      <c r="K148" s="38">
        <v>0.76670000000000005</v>
      </c>
      <c r="L148" s="30">
        <v>0.95809999999999995</v>
      </c>
      <c r="M148" s="31">
        <v>31</v>
      </c>
      <c r="N148" s="31">
        <v>30</v>
      </c>
      <c r="O148" s="30">
        <f t="shared" si="29"/>
        <v>1.0333333333333334</v>
      </c>
      <c r="P148" s="30">
        <v>1.0333000000000001</v>
      </c>
      <c r="Q148" s="30">
        <v>1.0333000000000001</v>
      </c>
      <c r="R148" s="39">
        <v>1.8</v>
      </c>
      <c r="S148" s="30">
        <v>1.556</v>
      </c>
      <c r="T148" s="35">
        <f t="shared" si="30"/>
        <v>0</v>
      </c>
      <c r="U148" s="35">
        <f t="shared" si="31"/>
        <v>4.3478260869589391E-5</v>
      </c>
      <c r="V148" s="35">
        <f t="shared" si="32"/>
        <v>1</v>
      </c>
      <c r="W148" s="40">
        <f t="shared" si="33"/>
        <v>0</v>
      </c>
      <c r="X148" s="4" t="str">
        <f t="shared" si="34"/>
        <v>OK</v>
      </c>
      <c r="Y148" s="30">
        <v>0.86670000000000003</v>
      </c>
    </row>
    <row r="149" spans="1:25" x14ac:dyDescent="0.3">
      <c r="A149" s="36" t="s">
        <v>633</v>
      </c>
      <c r="B149" s="16" t="s">
        <v>592</v>
      </c>
      <c r="C149" s="4" t="s">
        <v>179</v>
      </c>
      <c r="D149" s="37">
        <v>0.55000000000000004</v>
      </c>
      <c r="E149" s="31">
        <v>71</v>
      </c>
      <c r="F149" s="31">
        <v>30</v>
      </c>
      <c r="G149" s="30">
        <f t="shared" si="28"/>
        <v>2.3666666666666667</v>
      </c>
      <c r="H149" s="30">
        <v>2.3666999999999998</v>
      </c>
      <c r="I149" s="30">
        <v>2.3111000000000002</v>
      </c>
      <c r="J149" s="30">
        <v>2.3666999999999998</v>
      </c>
      <c r="K149" s="38">
        <v>2.3666999999999998</v>
      </c>
      <c r="L149" s="30">
        <v>1.6093</v>
      </c>
      <c r="M149" s="31">
        <v>80</v>
      </c>
      <c r="N149" s="31">
        <v>27.770499999999998</v>
      </c>
      <c r="O149" s="30">
        <f t="shared" si="29"/>
        <v>2.6666666666666665</v>
      </c>
      <c r="P149" s="30">
        <v>2.8807999999999998</v>
      </c>
      <c r="Q149" s="30">
        <v>2.8807999999999998</v>
      </c>
      <c r="R149" s="39">
        <v>5.2474999999999996</v>
      </c>
      <c r="S149" s="30">
        <v>2.5352000000000001</v>
      </c>
      <c r="T149" s="35">
        <f t="shared" si="30"/>
        <v>0</v>
      </c>
      <c r="U149" s="35">
        <f t="shared" si="31"/>
        <v>1.4084507042211314E-5</v>
      </c>
      <c r="V149" s="35">
        <f t="shared" si="32"/>
        <v>1</v>
      </c>
      <c r="W149" s="40">
        <f t="shared" si="33"/>
        <v>0</v>
      </c>
      <c r="X149" s="4" t="str">
        <f t="shared" si="34"/>
        <v>OK</v>
      </c>
      <c r="Y149" s="30">
        <v>2.3111000000000002</v>
      </c>
    </row>
    <row r="150" spans="1:25" x14ac:dyDescent="0.3">
      <c r="A150" s="36" t="s">
        <v>636</v>
      </c>
      <c r="B150" s="16" t="s">
        <v>592</v>
      </c>
      <c r="C150" s="4" t="s">
        <v>188</v>
      </c>
      <c r="D150" s="37">
        <v>0.55000000000000004</v>
      </c>
      <c r="E150" s="31">
        <v>15</v>
      </c>
      <c r="F150" s="31">
        <v>25.721</v>
      </c>
      <c r="G150" s="30">
        <f t="shared" si="28"/>
        <v>0.5</v>
      </c>
      <c r="H150" s="30">
        <v>0.58320000000000005</v>
      </c>
      <c r="I150" s="30">
        <v>0.66490000000000005</v>
      </c>
      <c r="J150" s="30">
        <v>0.72619999999999996</v>
      </c>
      <c r="K150" s="38">
        <v>0.58320000000000005</v>
      </c>
      <c r="L150" s="30">
        <v>0.7873</v>
      </c>
      <c r="M150" s="31">
        <v>2</v>
      </c>
      <c r="N150" s="31">
        <v>2</v>
      </c>
      <c r="O150" s="30">
        <f t="shared" si="29"/>
        <v>6.6666666666666666E-2</v>
      </c>
      <c r="P150" s="30">
        <v>1</v>
      </c>
      <c r="Q150" s="30">
        <v>1</v>
      </c>
      <c r="R150" s="39">
        <v>1.5831999999999999</v>
      </c>
      <c r="S150" s="30">
        <v>1.5628</v>
      </c>
      <c r="T150" s="35">
        <f t="shared" si="30"/>
        <v>0.14263333333333333</v>
      </c>
      <c r="U150" s="35">
        <f t="shared" si="31"/>
        <v>0.1664000000000001</v>
      </c>
      <c r="V150" s="35">
        <f t="shared" si="32"/>
        <v>0.85736666666666672</v>
      </c>
      <c r="W150" s="40">
        <f t="shared" si="33"/>
        <v>4.2789999999999999</v>
      </c>
      <c r="X150" s="4" t="str">
        <f t="shared" si="34"/>
        <v>OK</v>
      </c>
      <c r="Y150" s="30">
        <v>0.66490000000000005</v>
      </c>
    </row>
    <row r="151" spans="1:25" x14ac:dyDescent="0.3">
      <c r="A151" s="36" t="s">
        <v>639</v>
      </c>
      <c r="B151" s="16" t="s">
        <v>592</v>
      </c>
      <c r="C151" s="4" t="s">
        <v>188</v>
      </c>
      <c r="D151" s="37">
        <v>0.55000000000000004</v>
      </c>
      <c r="E151" s="31">
        <v>38</v>
      </c>
      <c r="F151" s="31">
        <v>30</v>
      </c>
      <c r="G151" s="30">
        <f t="shared" si="28"/>
        <v>1.2666666666666666</v>
      </c>
      <c r="H151" s="30">
        <v>1.2666999999999999</v>
      </c>
      <c r="I151" s="30">
        <v>1.2203999999999999</v>
      </c>
      <c r="J151" s="30">
        <v>1.2666999999999999</v>
      </c>
      <c r="K151" s="38">
        <v>1.2666999999999999</v>
      </c>
      <c r="L151" s="30">
        <v>1.71</v>
      </c>
      <c r="M151" s="31">
        <v>34</v>
      </c>
      <c r="N151" s="31">
        <v>30</v>
      </c>
      <c r="O151" s="30">
        <f t="shared" si="29"/>
        <v>1.1333333333333333</v>
      </c>
      <c r="P151" s="30">
        <v>1.1333</v>
      </c>
      <c r="Q151" s="30">
        <v>1.1333</v>
      </c>
      <c r="R151" s="39">
        <v>2.4</v>
      </c>
      <c r="S151" s="30">
        <v>2.2946</v>
      </c>
      <c r="T151" s="35">
        <f t="shared" si="30"/>
        <v>0</v>
      </c>
      <c r="U151" s="35">
        <f t="shared" si="31"/>
        <v>2.6315789473763118E-5</v>
      </c>
      <c r="V151" s="35">
        <f t="shared" si="32"/>
        <v>1</v>
      </c>
      <c r="W151" s="40">
        <f t="shared" si="33"/>
        <v>0</v>
      </c>
      <c r="X151" s="4" t="str">
        <f t="shared" si="34"/>
        <v>OK</v>
      </c>
      <c r="Y151" s="30">
        <v>1.2203999999999999</v>
      </c>
    </row>
    <row r="152" spans="1:25" x14ac:dyDescent="0.3">
      <c r="A152" s="36" t="s">
        <v>642</v>
      </c>
      <c r="B152" s="16" t="s">
        <v>592</v>
      </c>
      <c r="C152" s="4" t="s">
        <v>188</v>
      </c>
      <c r="D152" s="37">
        <v>0.55000000000000004</v>
      </c>
      <c r="E152" s="31">
        <v>20</v>
      </c>
      <c r="F152" s="31">
        <v>30</v>
      </c>
      <c r="G152" s="30">
        <f t="shared" si="28"/>
        <v>0.66666666666666663</v>
      </c>
      <c r="H152" s="30">
        <v>0.66669999999999996</v>
      </c>
      <c r="I152" s="30">
        <v>0.58889999999999998</v>
      </c>
      <c r="J152" s="30">
        <v>0.66669999999999996</v>
      </c>
      <c r="K152" s="38">
        <v>0.66669999999999996</v>
      </c>
      <c r="L152" s="30">
        <v>0.9</v>
      </c>
      <c r="M152" s="31">
        <v>17</v>
      </c>
      <c r="N152" s="31">
        <v>30</v>
      </c>
      <c r="O152" s="30">
        <f t="shared" si="29"/>
        <v>0.56666666666666665</v>
      </c>
      <c r="P152" s="30">
        <v>0.56669999999999998</v>
      </c>
      <c r="Q152" s="30">
        <v>0.56669999999999998</v>
      </c>
      <c r="R152" s="39">
        <v>1.2334000000000001</v>
      </c>
      <c r="S152" s="30">
        <v>1.1812</v>
      </c>
      <c r="T152" s="35">
        <f t="shared" si="30"/>
        <v>0</v>
      </c>
      <c r="U152" s="35">
        <f t="shared" si="31"/>
        <v>4.9999999999883471E-5</v>
      </c>
      <c r="V152" s="35">
        <f t="shared" si="32"/>
        <v>1</v>
      </c>
      <c r="W152" s="40">
        <f t="shared" si="33"/>
        <v>0</v>
      </c>
      <c r="X152" s="4" t="str">
        <f t="shared" si="34"/>
        <v>OK</v>
      </c>
      <c r="Y152" s="30">
        <v>0.58889999999999998</v>
      </c>
    </row>
    <row r="153" spans="1:25" x14ac:dyDescent="0.3">
      <c r="A153" s="36" t="s">
        <v>645</v>
      </c>
      <c r="B153" s="16" t="s">
        <v>646</v>
      </c>
      <c r="C153" s="4" t="s">
        <v>184</v>
      </c>
      <c r="D153" s="37">
        <v>0.45</v>
      </c>
      <c r="E153" s="31">
        <v>114</v>
      </c>
      <c r="F153" s="31">
        <v>30</v>
      </c>
      <c r="G153" s="30">
        <f t="shared" si="28"/>
        <v>3.8</v>
      </c>
      <c r="H153" s="30">
        <v>3.8</v>
      </c>
      <c r="I153" s="30">
        <v>3.5444</v>
      </c>
      <c r="J153" s="30">
        <v>3.8</v>
      </c>
      <c r="K153" s="38">
        <v>3.8</v>
      </c>
      <c r="L153" s="30">
        <v>1.9</v>
      </c>
      <c r="M153" s="31">
        <v>138</v>
      </c>
      <c r="N153" s="31">
        <v>30</v>
      </c>
      <c r="O153" s="30">
        <f t="shared" si="29"/>
        <v>4.5999999999999996</v>
      </c>
      <c r="P153" s="30">
        <v>4.5999999999999996</v>
      </c>
      <c r="Q153" s="30">
        <v>4.5999999999999996</v>
      </c>
      <c r="R153" s="39">
        <v>8.4</v>
      </c>
      <c r="S153" s="30">
        <v>2.9832999999999998</v>
      </c>
      <c r="T153" s="35">
        <f t="shared" si="30"/>
        <v>0</v>
      </c>
      <c r="U153" s="35">
        <f t="shared" si="31"/>
        <v>0</v>
      </c>
      <c r="V153" s="35">
        <f t="shared" si="32"/>
        <v>1</v>
      </c>
      <c r="W153" s="40">
        <f t="shared" si="33"/>
        <v>0</v>
      </c>
      <c r="X153" s="4" t="str">
        <f t="shared" si="34"/>
        <v>OK</v>
      </c>
      <c r="Y153" s="30">
        <v>3.5444</v>
      </c>
    </row>
    <row r="154" spans="1:25" x14ac:dyDescent="0.3">
      <c r="A154" s="36" t="s">
        <v>651</v>
      </c>
      <c r="B154" s="16" t="s">
        <v>646</v>
      </c>
      <c r="C154" s="4" t="s">
        <v>184</v>
      </c>
      <c r="D154" s="37">
        <v>0.45</v>
      </c>
      <c r="E154" s="31">
        <v>76</v>
      </c>
      <c r="F154" s="31">
        <v>30</v>
      </c>
      <c r="G154" s="30">
        <f t="shared" si="28"/>
        <v>2.5333333333333332</v>
      </c>
      <c r="H154" s="30">
        <v>2.5333000000000001</v>
      </c>
      <c r="I154" s="30">
        <v>2.3222</v>
      </c>
      <c r="J154" s="30">
        <v>2.5333000000000001</v>
      </c>
      <c r="K154" s="38">
        <v>2.5333000000000001</v>
      </c>
      <c r="L154" s="30">
        <v>1.2666999999999999</v>
      </c>
      <c r="M154" s="31">
        <v>63</v>
      </c>
      <c r="N154" s="31">
        <v>23</v>
      </c>
      <c r="O154" s="30">
        <f t="shared" si="29"/>
        <v>2.1</v>
      </c>
      <c r="P154" s="30">
        <v>2.7391000000000001</v>
      </c>
      <c r="Q154" s="30">
        <v>2.7391000000000001</v>
      </c>
      <c r="R154" s="39">
        <v>5.2724000000000002</v>
      </c>
      <c r="S154" s="30">
        <v>1.8655999999999999</v>
      </c>
      <c r="T154" s="35">
        <f t="shared" si="30"/>
        <v>0</v>
      </c>
      <c r="U154" s="35">
        <f t="shared" si="31"/>
        <v>-1.3157894736770537E-5</v>
      </c>
      <c r="V154" s="35">
        <f t="shared" si="32"/>
        <v>1</v>
      </c>
      <c r="W154" s="40">
        <f t="shared" si="33"/>
        <v>0</v>
      </c>
      <c r="X154" s="4" t="str">
        <f t="shared" si="34"/>
        <v>OK</v>
      </c>
      <c r="Y154" s="30">
        <v>2.3222</v>
      </c>
    </row>
    <row r="155" spans="1:25" x14ac:dyDescent="0.3">
      <c r="A155" s="36" t="s">
        <v>654</v>
      </c>
      <c r="B155" s="16" t="s">
        <v>646</v>
      </c>
      <c r="C155" s="4" t="s">
        <v>188</v>
      </c>
      <c r="D155" s="37">
        <v>0.45</v>
      </c>
      <c r="E155" s="31">
        <v>26</v>
      </c>
      <c r="F155" s="31">
        <v>30</v>
      </c>
      <c r="G155" s="30">
        <f t="shared" si="28"/>
        <v>0.8666666666666667</v>
      </c>
      <c r="H155" s="30">
        <v>0.86670000000000003</v>
      </c>
      <c r="I155" s="30">
        <v>0.84440000000000004</v>
      </c>
      <c r="J155" s="30">
        <v>0.86670000000000003</v>
      </c>
      <c r="K155" s="38">
        <v>0.86670000000000003</v>
      </c>
      <c r="L155" s="30">
        <v>1.17</v>
      </c>
      <c r="M155" s="31">
        <v>39</v>
      </c>
      <c r="N155" s="31">
        <v>30</v>
      </c>
      <c r="O155" s="30">
        <f t="shared" si="29"/>
        <v>1.3</v>
      </c>
      <c r="P155" s="30">
        <v>1.3</v>
      </c>
      <c r="Q155" s="30">
        <v>1.3</v>
      </c>
      <c r="R155" s="39">
        <v>2.1667000000000001</v>
      </c>
      <c r="S155" s="30">
        <v>1.8636999999999999</v>
      </c>
      <c r="T155" s="35">
        <f t="shared" si="30"/>
        <v>0</v>
      </c>
      <c r="U155" s="35">
        <f t="shared" si="31"/>
        <v>3.8461538461431743E-5</v>
      </c>
      <c r="V155" s="35">
        <f t="shared" si="32"/>
        <v>1</v>
      </c>
      <c r="W155" s="40">
        <f t="shared" si="33"/>
        <v>0</v>
      </c>
      <c r="X155" s="4" t="str">
        <f t="shared" si="34"/>
        <v>OK</v>
      </c>
      <c r="Y155" s="30">
        <v>0.84440000000000004</v>
      </c>
    </row>
    <row r="156" spans="1:25" x14ac:dyDescent="0.3">
      <c r="A156" s="36" t="s">
        <v>657</v>
      </c>
      <c r="B156" s="16" t="s">
        <v>646</v>
      </c>
      <c r="C156" s="4" t="s">
        <v>188</v>
      </c>
      <c r="D156" s="37">
        <v>0.45</v>
      </c>
      <c r="E156" s="31">
        <v>22</v>
      </c>
      <c r="F156" s="31">
        <v>30</v>
      </c>
      <c r="G156" s="30">
        <f t="shared" si="28"/>
        <v>0.73333333333333328</v>
      </c>
      <c r="H156" s="30">
        <v>0.73329999999999995</v>
      </c>
      <c r="I156" s="30">
        <v>0.82220000000000004</v>
      </c>
      <c r="J156" s="30">
        <v>0.73329999999999995</v>
      </c>
      <c r="K156" s="38">
        <v>0.73329999999999995</v>
      </c>
      <c r="L156" s="30">
        <v>0.99</v>
      </c>
      <c r="M156" s="31">
        <v>40</v>
      </c>
      <c r="N156" s="31">
        <v>30</v>
      </c>
      <c r="O156" s="30">
        <f t="shared" si="29"/>
        <v>1.3333333333333333</v>
      </c>
      <c r="P156" s="30">
        <v>1.3332999999999999</v>
      </c>
      <c r="Q156" s="30">
        <v>1.3332999999999999</v>
      </c>
      <c r="R156" s="39">
        <v>2.0666000000000002</v>
      </c>
      <c r="S156" s="30">
        <v>2.0543</v>
      </c>
      <c r="T156" s="35">
        <f t="shared" si="30"/>
        <v>0</v>
      </c>
      <c r="U156" s="35">
        <f t="shared" si="31"/>
        <v>-4.5454545454570727E-5</v>
      </c>
      <c r="V156" s="35">
        <f t="shared" si="32"/>
        <v>1</v>
      </c>
      <c r="W156" s="40">
        <f t="shared" si="33"/>
        <v>0</v>
      </c>
      <c r="X156" s="4" t="str">
        <f t="shared" si="34"/>
        <v>OK</v>
      </c>
      <c r="Y156" s="30">
        <v>0.82220000000000004</v>
      </c>
    </row>
    <row r="157" spans="1:25" x14ac:dyDescent="0.3">
      <c r="A157" s="36" t="s">
        <v>660</v>
      </c>
      <c r="B157" s="16" t="s">
        <v>646</v>
      </c>
      <c r="C157" s="4" t="s">
        <v>184</v>
      </c>
      <c r="D157" s="37">
        <v>0.45</v>
      </c>
      <c r="E157" s="31">
        <v>141</v>
      </c>
      <c r="F157" s="31">
        <v>30</v>
      </c>
      <c r="G157" s="30">
        <f t="shared" si="28"/>
        <v>4.7</v>
      </c>
      <c r="H157" s="30">
        <v>4.7</v>
      </c>
      <c r="I157" s="30">
        <v>4.5</v>
      </c>
      <c r="J157" s="30">
        <v>4.7</v>
      </c>
      <c r="K157" s="38">
        <v>4.7</v>
      </c>
      <c r="L157" s="30">
        <v>2.35</v>
      </c>
      <c r="M157" s="31">
        <v>98</v>
      </c>
      <c r="N157" s="31">
        <v>19</v>
      </c>
      <c r="O157" s="30">
        <f t="shared" si="29"/>
        <v>3.2666666666666666</v>
      </c>
      <c r="P157" s="30">
        <v>5.1578999999999997</v>
      </c>
      <c r="Q157" s="30">
        <v>5.1578999999999997</v>
      </c>
      <c r="R157" s="39">
        <v>9.8579000000000008</v>
      </c>
      <c r="S157" s="30">
        <v>3.4889999999999999</v>
      </c>
      <c r="T157" s="35">
        <f t="shared" si="30"/>
        <v>0</v>
      </c>
      <c r="U157" s="35">
        <f t="shared" si="31"/>
        <v>0</v>
      </c>
      <c r="V157" s="35">
        <f t="shared" si="32"/>
        <v>1</v>
      </c>
      <c r="W157" s="40">
        <f t="shared" si="33"/>
        <v>0</v>
      </c>
      <c r="X157" s="4" t="str">
        <f t="shared" si="34"/>
        <v>OK</v>
      </c>
      <c r="Y157" s="30">
        <v>4.5</v>
      </c>
    </row>
    <row r="158" spans="1:25" x14ac:dyDescent="0.3">
      <c r="A158" s="36" t="s">
        <v>663</v>
      </c>
      <c r="B158" s="16" t="s">
        <v>646</v>
      </c>
      <c r="C158" s="4" t="s">
        <v>184</v>
      </c>
      <c r="D158" s="37">
        <v>0.45</v>
      </c>
      <c r="E158" s="31">
        <v>126</v>
      </c>
      <c r="F158" s="31">
        <v>30</v>
      </c>
      <c r="G158" s="30">
        <f t="shared" si="28"/>
        <v>4.2</v>
      </c>
      <c r="H158" s="30">
        <v>4.2</v>
      </c>
      <c r="I158" s="30">
        <v>4.1222000000000003</v>
      </c>
      <c r="J158" s="30">
        <v>4.2</v>
      </c>
      <c r="K158" s="38">
        <v>4.2</v>
      </c>
      <c r="L158" s="30">
        <v>2.1</v>
      </c>
      <c r="M158" s="31">
        <v>76</v>
      </c>
      <c r="N158" s="31">
        <v>20.7654</v>
      </c>
      <c r="O158" s="30">
        <f t="shared" si="29"/>
        <v>2.5333333333333332</v>
      </c>
      <c r="P158" s="30">
        <v>3.6598999999999999</v>
      </c>
      <c r="Q158" s="30">
        <v>3.6598999999999999</v>
      </c>
      <c r="R158" s="39">
        <v>7.8598999999999997</v>
      </c>
      <c r="S158" s="30">
        <v>2.7854999999999999</v>
      </c>
      <c r="T158" s="35">
        <f t="shared" si="30"/>
        <v>0</v>
      </c>
      <c r="U158" s="35">
        <f t="shared" si="31"/>
        <v>0</v>
      </c>
      <c r="V158" s="35">
        <f t="shared" si="32"/>
        <v>1</v>
      </c>
      <c r="W158" s="40">
        <f t="shared" si="33"/>
        <v>0</v>
      </c>
      <c r="X158" s="4" t="str">
        <f t="shared" si="34"/>
        <v>OK</v>
      </c>
      <c r="Y158" s="30">
        <v>4.1222000000000003</v>
      </c>
    </row>
    <row r="159" spans="1:25" x14ac:dyDescent="0.3">
      <c r="A159" s="36" t="s">
        <v>666</v>
      </c>
      <c r="B159" s="16" t="s">
        <v>646</v>
      </c>
      <c r="C159" s="4" t="s">
        <v>184</v>
      </c>
      <c r="D159" s="37">
        <v>0.45</v>
      </c>
      <c r="E159" s="31">
        <v>65</v>
      </c>
      <c r="F159" s="31">
        <v>30</v>
      </c>
      <c r="G159" s="30">
        <f t="shared" si="28"/>
        <v>2.1666666666666665</v>
      </c>
      <c r="H159" s="30">
        <v>2.1667000000000001</v>
      </c>
      <c r="I159" s="30">
        <v>1.9443999999999999</v>
      </c>
      <c r="J159" s="30">
        <v>2.1667000000000001</v>
      </c>
      <c r="K159" s="38">
        <v>2.1667000000000001</v>
      </c>
      <c r="L159" s="30">
        <v>1.0832999999999999</v>
      </c>
      <c r="M159" s="31">
        <v>84</v>
      </c>
      <c r="N159" s="31">
        <v>30</v>
      </c>
      <c r="O159" s="30">
        <f t="shared" si="29"/>
        <v>2.8</v>
      </c>
      <c r="P159" s="30">
        <v>2.8</v>
      </c>
      <c r="Q159" s="30">
        <v>2.8</v>
      </c>
      <c r="R159" s="39">
        <v>4.9667000000000003</v>
      </c>
      <c r="S159" s="30">
        <v>1.7702</v>
      </c>
      <c r="T159" s="35">
        <f t="shared" si="30"/>
        <v>0</v>
      </c>
      <c r="U159" s="35">
        <f t="shared" si="31"/>
        <v>1.5384615384750333E-5</v>
      </c>
      <c r="V159" s="35">
        <f t="shared" si="32"/>
        <v>1</v>
      </c>
      <c r="W159" s="40">
        <f t="shared" si="33"/>
        <v>0</v>
      </c>
      <c r="X159" s="4" t="str">
        <f t="shared" si="34"/>
        <v>OK</v>
      </c>
      <c r="Y159" s="30">
        <v>1.9443999999999999</v>
      </c>
    </row>
    <row r="160" spans="1:25" x14ac:dyDescent="0.3">
      <c r="A160" s="36" t="s">
        <v>669</v>
      </c>
      <c r="B160" s="16" t="s">
        <v>646</v>
      </c>
      <c r="C160" s="4" t="s">
        <v>179</v>
      </c>
      <c r="D160" s="37">
        <v>0.45</v>
      </c>
      <c r="E160" s="31">
        <v>75</v>
      </c>
      <c r="F160" s="31">
        <v>30</v>
      </c>
      <c r="G160" s="30">
        <f t="shared" si="28"/>
        <v>2.5</v>
      </c>
      <c r="H160" s="30">
        <v>2.5</v>
      </c>
      <c r="I160" s="30">
        <v>2.7</v>
      </c>
      <c r="J160" s="30">
        <v>2.5</v>
      </c>
      <c r="K160" s="38">
        <v>2.5</v>
      </c>
      <c r="L160" s="30">
        <v>1.7</v>
      </c>
      <c r="M160" s="31">
        <v>89</v>
      </c>
      <c r="N160" s="31">
        <v>30</v>
      </c>
      <c r="O160" s="30">
        <f t="shared" si="29"/>
        <v>2.9666666666666668</v>
      </c>
      <c r="P160" s="30">
        <v>2.9666999999999999</v>
      </c>
      <c r="Q160" s="30">
        <v>2.9666999999999999</v>
      </c>
      <c r="R160" s="39">
        <v>5.4667000000000003</v>
      </c>
      <c r="S160" s="30">
        <v>2.6381000000000001</v>
      </c>
      <c r="T160" s="35">
        <f t="shared" si="30"/>
        <v>0</v>
      </c>
      <c r="U160" s="35">
        <f t="shared" si="31"/>
        <v>0</v>
      </c>
      <c r="V160" s="35">
        <f t="shared" si="32"/>
        <v>1</v>
      </c>
      <c r="W160" s="40">
        <f t="shared" si="33"/>
        <v>0</v>
      </c>
      <c r="X160" s="4" t="str">
        <f t="shared" si="34"/>
        <v>OK</v>
      </c>
      <c r="Y160" s="30">
        <v>2.7</v>
      </c>
    </row>
    <row r="161" spans="1:25" x14ac:dyDescent="0.3">
      <c r="A161" s="36" t="s">
        <v>672</v>
      </c>
      <c r="B161" s="16" t="s">
        <v>646</v>
      </c>
      <c r="C161" s="4" t="s">
        <v>184</v>
      </c>
      <c r="D161" s="37">
        <v>0.45</v>
      </c>
      <c r="E161" s="31">
        <v>145</v>
      </c>
      <c r="F161" s="31">
        <v>30</v>
      </c>
      <c r="G161" s="30">
        <f t="shared" si="28"/>
        <v>4.833333333333333</v>
      </c>
      <c r="H161" s="30">
        <v>4.8333000000000004</v>
      </c>
      <c r="I161" s="30">
        <v>4.6778000000000004</v>
      </c>
      <c r="J161" s="30">
        <v>4.8333000000000004</v>
      </c>
      <c r="K161" s="38">
        <v>4.8333000000000004</v>
      </c>
      <c r="L161" s="30">
        <v>2.3793000000000002</v>
      </c>
      <c r="M161" s="31">
        <v>135</v>
      </c>
      <c r="N161" s="31">
        <v>24.832899999999999</v>
      </c>
      <c r="O161" s="30">
        <f t="shared" si="29"/>
        <v>4.5</v>
      </c>
      <c r="P161" s="30">
        <v>5.4363000000000001</v>
      </c>
      <c r="Q161" s="30">
        <v>5.4363000000000001</v>
      </c>
      <c r="R161" s="39">
        <v>10.269600000000001</v>
      </c>
      <c r="S161" s="30">
        <v>3.6124000000000001</v>
      </c>
      <c r="T161" s="35">
        <f t="shared" si="30"/>
        <v>0</v>
      </c>
      <c r="U161" s="35">
        <f t="shared" si="31"/>
        <v>-6.8965517240338059E-6</v>
      </c>
      <c r="V161" s="35">
        <f t="shared" si="32"/>
        <v>1</v>
      </c>
      <c r="W161" s="40">
        <f t="shared" si="33"/>
        <v>0</v>
      </c>
      <c r="X161" s="4" t="str">
        <f t="shared" si="34"/>
        <v>OK</v>
      </c>
      <c r="Y161" s="30">
        <v>4.6778000000000004</v>
      </c>
    </row>
    <row r="162" spans="1:25" x14ac:dyDescent="0.3">
      <c r="A162" s="36" t="s">
        <v>675</v>
      </c>
      <c r="B162" s="16" t="s">
        <v>646</v>
      </c>
      <c r="C162" s="4" t="s">
        <v>184</v>
      </c>
      <c r="D162" s="37">
        <v>0.45</v>
      </c>
      <c r="E162" s="31">
        <v>69</v>
      </c>
      <c r="F162" s="31">
        <v>30</v>
      </c>
      <c r="G162" s="30">
        <f t="shared" si="28"/>
        <v>2.2999999999999998</v>
      </c>
      <c r="H162" s="30">
        <v>2.2999999999999998</v>
      </c>
      <c r="I162" s="30">
        <v>2.5333000000000001</v>
      </c>
      <c r="J162" s="30">
        <v>2.2999999999999998</v>
      </c>
      <c r="K162" s="38">
        <v>2.2999999999999998</v>
      </c>
      <c r="L162" s="30">
        <v>1.1499999999999999</v>
      </c>
      <c r="M162" s="31">
        <v>112</v>
      </c>
      <c r="N162" s="31">
        <v>30</v>
      </c>
      <c r="O162" s="30">
        <f t="shared" si="29"/>
        <v>3.7333333333333334</v>
      </c>
      <c r="P162" s="30">
        <v>3.7332999999999998</v>
      </c>
      <c r="Q162" s="30">
        <v>3.7332999999999998</v>
      </c>
      <c r="R162" s="39">
        <v>6.0332999999999997</v>
      </c>
      <c r="S162" s="30">
        <v>2.1924999999999999</v>
      </c>
      <c r="T162" s="35">
        <f t="shared" si="30"/>
        <v>0</v>
      </c>
      <c r="U162" s="35">
        <f t="shared" si="31"/>
        <v>0</v>
      </c>
      <c r="V162" s="35">
        <f t="shared" si="32"/>
        <v>1</v>
      </c>
      <c r="W162" s="40">
        <f t="shared" si="33"/>
        <v>0</v>
      </c>
      <c r="X162" s="4" t="str">
        <f t="shared" si="34"/>
        <v>OK</v>
      </c>
      <c r="Y162" s="30">
        <v>2.5333000000000001</v>
      </c>
    </row>
    <row r="163" spans="1:25" x14ac:dyDescent="0.3">
      <c r="A163" s="36" t="s">
        <v>678</v>
      </c>
      <c r="B163" s="16" t="s">
        <v>646</v>
      </c>
      <c r="C163" s="4" t="s">
        <v>179</v>
      </c>
      <c r="D163" s="37">
        <v>0.45</v>
      </c>
      <c r="E163" s="31">
        <v>64</v>
      </c>
      <c r="F163" s="31">
        <v>30</v>
      </c>
      <c r="G163" s="30">
        <f t="shared" si="28"/>
        <v>2.1333333333333333</v>
      </c>
      <c r="H163" s="30">
        <v>2.1333000000000002</v>
      </c>
      <c r="I163" s="30">
        <v>2.2111000000000001</v>
      </c>
      <c r="J163" s="30">
        <v>2.1333000000000002</v>
      </c>
      <c r="K163" s="38">
        <v>2.1333000000000002</v>
      </c>
      <c r="L163" s="30">
        <v>1.4507000000000001</v>
      </c>
      <c r="M163" s="31">
        <v>95</v>
      </c>
      <c r="N163" s="31">
        <v>30</v>
      </c>
      <c r="O163" s="30">
        <f t="shared" si="29"/>
        <v>3.1666666666666665</v>
      </c>
      <c r="P163" s="30">
        <v>3.1667000000000001</v>
      </c>
      <c r="Q163" s="30">
        <v>3.1667000000000001</v>
      </c>
      <c r="R163" s="39">
        <v>5.3</v>
      </c>
      <c r="S163" s="30">
        <v>2.5964</v>
      </c>
      <c r="T163" s="35">
        <f t="shared" si="30"/>
        <v>0</v>
      </c>
      <c r="U163" s="35">
        <f t="shared" si="31"/>
        <v>-1.5624999999852562E-5</v>
      </c>
      <c r="V163" s="35">
        <f t="shared" si="32"/>
        <v>1</v>
      </c>
      <c r="W163" s="40">
        <f t="shared" si="33"/>
        <v>0</v>
      </c>
      <c r="X163" s="4" t="str">
        <f t="shared" si="34"/>
        <v>OK</v>
      </c>
      <c r="Y163" s="30">
        <v>2.2111000000000001</v>
      </c>
    </row>
    <row r="164" spans="1:25" x14ac:dyDescent="0.3">
      <c r="A164" s="36" t="s">
        <v>681</v>
      </c>
      <c r="B164" s="16" t="s">
        <v>646</v>
      </c>
      <c r="C164" s="4" t="s">
        <v>188</v>
      </c>
      <c r="D164" s="37">
        <v>0.45</v>
      </c>
      <c r="E164" s="31">
        <v>30</v>
      </c>
      <c r="F164" s="31">
        <v>30</v>
      </c>
      <c r="G164" s="30">
        <f t="shared" si="28"/>
        <v>1</v>
      </c>
      <c r="H164" s="30">
        <v>1</v>
      </c>
      <c r="I164" s="30">
        <v>1.0667</v>
      </c>
      <c r="J164" s="30">
        <v>1</v>
      </c>
      <c r="K164" s="38">
        <v>1</v>
      </c>
      <c r="L164" s="30">
        <v>1.35</v>
      </c>
      <c r="M164" s="31">
        <v>29</v>
      </c>
      <c r="N164" s="31">
        <v>30</v>
      </c>
      <c r="O164" s="30">
        <f t="shared" si="29"/>
        <v>0.96666666666666667</v>
      </c>
      <c r="P164" s="30">
        <v>0.9667</v>
      </c>
      <c r="Q164" s="30">
        <v>0.9667</v>
      </c>
      <c r="R164" s="39">
        <v>1.9666999999999999</v>
      </c>
      <c r="S164" s="30">
        <v>1.8775999999999999</v>
      </c>
      <c r="T164" s="35">
        <f t="shared" si="30"/>
        <v>0</v>
      </c>
      <c r="U164" s="35">
        <f t="shared" si="31"/>
        <v>0</v>
      </c>
      <c r="V164" s="35">
        <f t="shared" si="32"/>
        <v>1</v>
      </c>
      <c r="W164" s="40">
        <f t="shared" si="33"/>
        <v>0</v>
      </c>
      <c r="X164" s="4" t="str">
        <f t="shared" si="34"/>
        <v>OK</v>
      </c>
      <c r="Y164" s="30">
        <v>1.0667</v>
      </c>
    </row>
  </sheetData>
  <mergeCells count="2">
    <mergeCell ref="A2:Y2"/>
    <mergeCell ref="A1:Y1"/>
  </mergeCells>
  <conditionalFormatting sqref="F5:F164">
    <cfRule type="expression" dxfId="10" priority="1">
      <formula>$F5&lt;20</formula>
    </cfRule>
  </conditionalFormatting>
  <conditionalFormatting sqref="K5:K164">
    <cfRule type="dataBar" priority="3">
      <dataBar>
        <cfvo type="num" val="0"/>
        <cfvo type="num" val="60"/>
        <color rgb="FF70AD47"/>
      </dataBar>
    </cfRule>
  </conditionalFormatting>
  <conditionalFormatting sqref="U5:U164">
    <cfRule type="cellIs" dxfId="9" priority="2" operator="greaterThan">
      <formula>0</formula>
    </cfRule>
  </conditionalFormatting>
  <printOptions horizontalCentered="1"/>
  <pageMargins left="0.75" right="0.75" top="1" bottom="1" header="0.5" footer="0.5"/>
  <pageSetup fitToHeight="0" orientation="landscape"/>
  <tableParts count="1">
    <tablePart r:id="rId1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tabColor rgb="FF548235"/>
    <pageSetUpPr fitToPage="1"/>
  </sheetPr>
  <dimension ref="A1:AB164"/>
  <sheetViews>
    <sheetView showGridLines="0" tabSelected="1" workbookViewId="0">
      <pane xSplit="2" ySplit="4" topLeftCell="C140" activePane="bottomRight" state="frozen"/>
      <selection pane="topRight"/>
      <selection pane="bottomLeft"/>
      <selection pane="bottomRight" sqref="A1:AB1"/>
    </sheetView>
  </sheetViews>
  <sheetFormatPr baseColWidth="10" defaultColWidth="8.88671875" defaultRowHeight="14.4" x14ac:dyDescent="0.3"/>
  <cols>
    <col min="1" max="1" width="28" customWidth="1"/>
    <col min="2" max="2" width="20" customWidth="1"/>
    <col min="3" max="3" width="8" customWidth="1"/>
    <col min="4" max="4" width="11" customWidth="1"/>
    <col min="5" max="5" width="10" customWidth="1"/>
    <col min="6" max="7" width="9" customWidth="1"/>
    <col min="8" max="8" width="11" customWidth="1"/>
    <col min="9" max="10" width="9" customWidth="1"/>
    <col min="11" max="11" width="10" customWidth="1"/>
    <col min="12" max="13" width="8" customWidth="1"/>
    <col min="14" max="14" width="10" customWidth="1"/>
    <col min="15" max="15" width="8" customWidth="1"/>
    <col min="16" max="16" width="9" customWidth="1"/>
    <col min="17" max="17" width="10" customWidth="1"/>
    <col min="18" max="19" width="11" customWidth="1"/>
    <col min="20" max="20" width="10" customWidth="1"/>
    <col min="21" max="21" width="9" customWidth="1"/>
    <col min="22" max="22" width="10" customWidth="1"/>
    <col min="23" max="23" width="11" customWidth="1"/>
    <col min="24" max="24" width="10" customWidth="1"/>
    <col min="25" max="25" width="11" customWidth="1"/>
    <col min="26" max="26" width="12" customWidth="1"/>
    <col min="27" max="27" width="25" customWidth="1"/>
    <col min="28" max="28" width="12" customWidth="1"/>
  </cols>
  <sheetData>
    <row r="1" spans="1:28" ht="28.05" customHeight="1" x14ac:dyDescent="0.3">
      <c r="A1" s="51" t="s">
        <v>709</v>
      </c>
      <c r="B1" s="52"/>
      <c r="C1" s="52"/>
      <c r="D1" s="52"/>
      <c r="E1" s="52"/>
      <c r="F1" s="52"/>
      <c r="G1" s="52"/>
      <c r="H1" s="52"/>
      <c r="I1" s="52"/>
      <c r="J1" s="52"/>
      <c r="K1" s="52"/>
      <c r="L1" s="52"/>
      <c r="M1" s="52"/>
      <c r="N1" s="52"/>
      <c r="O1" s="52"/>
      <c r="P1" s="52"/>
      <c r="Q1" s="52"/>
      <c r="R1" s="52"/>
      <c r="S1" s="52"/>
      <c r="T1" s="52"/>
      <c r="U1" s="52"/>
      <c r="V1" s="52"/>
      <c r="W1" s="52"/>
      <c r="X1" s="52"/>
      <c r="Y1" s="52"/>
      <c r="Z1" s="52"/>
      <c r="AA1" s="52"/>
      <c r="AB1" s="52"/>
    </row>
    <row r="2" spans="1:28" ht="19.95" customHeight="1" x14ac:dyDescent="0.3">
      <c r="A2" s="58" t="s">
        <v>710</v>
      </c>
      <c r="B2" s="57"/>
      <c r="C2" s="57"/>
      <c r="D2" s="57"/>
      <c r="E2" s="57"/>
      <c r="F2" s="57"/>
      <c r="G2" s="57"/>
      <c r="H2" s="57"/>
      <c r="I2" s="57"/>
      <c r="J2" s="57"/>
      <c r="K2" s="57"/>
      <c r="L2" s="57"/>
      <c r="M2" s="57"/>
      <c r="N2" s="57"/>
      <c r="O2" s="57"/>
      <c r="P2" s="57"/>
      <c r="Q2" s="57"/>
      <c r="R2" s="57"/>
      <c r="S2" s="57"/>
      <c r="T2" s="57"/>
      <c r="U2" s="57"/>
      <c r="V2" s="57"/>
      <c r="W2" s="57"/>
      <c r="X2" s="57"/>
      <c r="Y2" s="57"/>
      <c r="Z2" s="57"/>
      <c r="AA2" s="57"/>
      <c r="AB2" s="57"/>
    </row>
    <row r="4" spans="1:28" ht="37.950000000000003" customHeight="1" x14ac:dyDescent="0.3">
      <c r="A4" s="27" t="s">
        <v>140</v>
      </c>
      <c r="B4" s="27" t="s">
        <v>141</v>
      </c>
      <c r="C4" s="27" t="s">
        <v>686</v>
      </c>
      <c r="D4" s="27" t="s">
        <v>711</v>
      </c>
      <c r="E4" s="27" t="s">
        <v>712</v>
      </c>
      <c r="F4" s="27" t="s">
        <v>713</v>
      </c>
      <c r="G4" s="27" t="s">
        <v>714</v>
      </c>
      <c r="H4" s="27" t="s">
        <v>715</v>
      </c>
      <c r="I4" s="27" t="s">
        <v>716</v>
      </c>
      <c r="J4" s="27" t="s">
        <v>717</v>
      </c>
      <c r="K4" s="27" t="s">
        <v>718</v>
      </c>
      <c r="L4" s="27" t="s">
        <v>695</v>
      </c>
      <c r="M4" s="27" t="s">
        <v>719</v>
      </c>
      <c r="N4" s="27" t="s">
        <v>720</v>
      </c>
      <c r="O4" s="27" t="s">
        <v>721</v>
      </c>
      <c r="P4" s="27" t="s">
        <v>722</v>
      </c>
      <c r="Q4" s="27" t="s">
        <v>723</v>
      </c>
      <c r="R4" s="27" t="s">
        <v>724</v>
      </c>
      <c r="S4" s="27" t="s">
        <v>725</v>
      </c>
      <c r="T4" s="27" t="s">
        <v>726</v>
      </c>
      <c r="U4" s="27" t="s">
        <v>727</v>
      </c>
      <c r="V4" s="27" t="s">
        <v>728</v>
      </c>
      <c r="W4" s="27" t="s">
        <v>729</v>
      </c>
      <c r="X4" s="27" t="s">
        <v>730</v>
      </c>
      <c r="Y4" s="27" t="s">
        <v>731</v>
      </c>
      <c r="Z4" s="27" t="s">
        <v>732</v>
      </c>
      <c r="AA4" s="27" t="s">
        <v>707</v>
      </c>
      <c r="AB4" s="27" t="s">
        <v>733</v>
      </c>
    </row>
    <row r="5" spans="1:28" x14ac:dyDescent="0.3">
      <c r="A5" s="36" t="s">
        <v>164</v>
      </c>
      <c r="B5" s="16" t="s">
        <v>165</v>
      </c>
      <c r="C5" s="4" t="s">
        <v>172</v>
      </c>
      <c r="D5" s="41">
        <v>210</v>
      </c>
      <c r="E5" s="42">
        <f t="shared" ref="E5:E36" si="0">D5+U5+V5+W5</f>
        <v>210</v>
      </c>
      <c r="F5" s="31">
        <v>29.09</v>
      </c>
      <c r="G5" s="31">
        <v>34.979999999999997</v>
      </c>
      <c r="H5" s="43">
        <f t="shared" ref="H5:H36" si="1">MAX(F5,G5)</f>
        <v>34.979999999999997</v>
      </c>
      <c r="I5" s="32">
        <v>0</v>
      </c>
      <c r="J5" s="4" t="b">
        <v>0</v>
      </c>
      <c r="K5" s="39">
        <v>14.066700000000001</v>
      </c>
      <c r="L5" s="30">
        <v>5.6835000000000004</v>
      </c>
      <c r="M5" s="41">
        <v>88.89</v>
      </c>
      <c r="N5" s="44">
        <v>451</v>
      </c>
      <c r="O5" s="41">
        <v>647.92999999999995</v>
      </c>
      <c r="P5" s="41">
        <v>943.33</v>
      </c>
      <c r="Q5" s="41">
        <v>0</v>
      </c>
      <c r="R5" s="45">
        <v>8</v>
      </c>
      <c r="S5" s="46">
        <f>MIN(R5,Q5)*_xlfn.XLOOKUP($A5,tbl_Catalog[sku_id],tbl_Catalog[master_carton_qty])</f>
        <v>0</v>
      </c>
      <c r="T5" s="41">
        <f>IF(_xlfn.XLOOKUP($A5,tbl_Catalog[sku_id],tbl_Catalog[master_carton_qty])&gt;0,S5/_xlfn.XLOOKUP($A5,tbl_Catalog[sku_id],tbl_Catalog[master_carton_qty]),0)</f>
        <v>0</v>
      </c>
      <c r="U5" s="41">
        <v>0</v>
      </c>
      <c r="V5" s="41">
        <v>0</v>
      </c>
      <c r="W5" s="41">
        <v>0</v>
      </c>
      <c r="X5" s="30">
        <f>T5*_xlfn.XLOOKUP($A5,tbl_Catalog[sku_id],tbl_Catalog[carton_volume_cbm])</f>
        <v>0</v>
      </c>
      <c r="Y5" s="31">
        <f t="shared" ref="Y5:Y36" si="2">IF(K5&gt;0,(E5+S5)/K5,0)</f>
        <v>14.928874576126596</v>
      </c>
      <c r="Z5" s="47">
        <f t="shared" ref="Z5:Z36" si="3">S5*I5</f>
        <v>0</v>
      </c>
      <c r="AA5" s="4" t="str">
        <f t="shared" ref="AA5:AA36" si="4">IF(AND(H5&lt;Fee_Threshold,I5&gt;0),"LOW-INVENTORY FEE ACTIVE",IF(H5&lt;Fee_Threshold,"EXEMPT / AUDIT","SHIELDED"))</f>
        <v>SHIELDED</v>
      </c>
      <c r="AB5" s="4" t="str">
        <f>IF(MOD(S5,_xlfn.XLOOKUP($A5,tbl_Catalog[sku_id],tbl_Catalog[master_carton_qty]))=0,"CARTON OK","CHECK")</f>
        <v>CARTON OK</v>
      </c>
    </row>
    <row r="6" spans="1:28" x14ac:dyDescent="0.3">
      <c r="A6" s="36" t="s">
        <v>175</v>
      </c>
      <c r="B6" s="16" t="s">
        <v>165</v>
      </c>
      <c r="C6" s="4" t="s">
        <v>179</v>
      </c>
      <c r="D6" s="41">
        <v>129</v>
      </c>
      <c r="E6" s="42">
        <f t="shared" si="0"/>
        <v>129</v>
      </c>
      <c r="F6" s="31">
        <v>68</v>
      </c>
      <c r="G6" s="31">
        <v>61.06</v>
      </c>
      <c r="H6" s="43">
        <f t="shared" si="1"/>
        <v>68</v>
      </c>
      <c r="I6" s="32">
        <v>0</v>
      </c>
      <c r="J6" s="4" t="b">
        <v>1</v>
      </c>
      <c r="K6" s="39">
        <v>1.0667</v>
      </c>
      <c r="L6" s="30">
        <v>0.72529999999999994</v>
      </c>
      <c r="M6" s="41">
        <v>6.9</v>
      </c>
      <c r="N6" s="44">
        <v>7</v>
      </c>
      <c r="O6" s="41">
        <v>21.93</v>
      </c>
      <c r="P6" s="41">
        <v>44.33</v>
      </c>
      <c r="Q6" s="41">
        <v>0</v>
      </c>
      <c r="R6" s="45">
        <v>0</v>
      </c>
      <c r="S6" s="46">
        <f>MIN(R6,Q6)*_xlfn.XLOOKUP($A6,tbl_Catalog[sku_id],tbl_Catalog[master_carton_qty])</f>
        <v>0</v>
      </c>
      <c r="T6" s="41">
        <f>IF(_xlfn.XLOOKUP($A6,tbl_Catalog[sku_id],tbl_Catalog[master_carton_qty])&gt;0,S6/_xlfn.XLOOKUP($A6,tbl_Catalog[sku_id],tbl_Catalog[master_carton_qty]),0)</f>
        <v>0</v>
      </c>
      <c r="U6" s="41">
        <v>0</v>
      </c>
      <c r="V6" s="41">
        <v>0</v>
      </c>
      <c r="W6" s="41">
        <v>0</v>
      </c>
      <c r="X6" s="30">
        <f>T6*_xlfn.XLOOKUP($A6,tbl_Catalog[sku_id],tbl_Catalog[carton_volume_cbm])</f>
        <v>0</v>
      </c>
      <c r="Y6" s="31">
        <f t="shared" si="2"/>
        <v>120.93372082122434</v>
      </c>
      <c r="Z6" s="47">
        <f t="shared" si="3"/>
        <v>0</v>
      </c>
      <c r="AA6" s="4" t="str">
        <f t="shared" si="4"/>
        <v>SHIELDED</v>
      </c>
      <c r="AB6" s="4" t="str">
        <f>IF(MOD(S6,_xlfn.XLOOKUP($A6,tbl_Catalog[sku_id],tbl_Catalog[master_carton_qty]))=0,"CARTON OK","CHECK")</f>
        <v>CARTON OK</v>
      </c>
    </row>
    <row r="7" spans="1:28" x14ac:dyDescent="0.3">
      <c r="A7" s="36" t="s">
        <v>180</v>
      </c>
      <c r="B7" s="16" t="s">
        <v>165</v>
      </c>
      <c r="C7" s="4" t="s">
        <v>184</v>
      </c>
      <c r="D7" s="41">
        <v>0</v>
      </c>
      <c r="E7" s="42">
        <f t="shared" si="0"/>
        <v>0</v>
      </c>
      <c r="F7" s="31">
        <v>5.69</v>
      </c>
      <c r="G7" s="31">
        <v>36.1</v>
      </c>
      <c r="H7" s="43">
        <f t="shared" si="1"/>
        <v>36.1</v>
      </c>
      <c r="I7" s="32">
        <v>0</v>
      </c>
      <c r="J7" s="4" t="b">
        <v>1</v>
      </c>
      <c r="K7" s="39">
        <v>2.2896999999999998</v>
      </c>
      <c r="L7" s="30">
        <v>1.1449</v>
      </c>
      <c r="M7" s="41">
        <v>13.32</v>
      </c>
      <c r="N7" s="44">
        <v>14</v>
      </c>
      <c r="O7" s="41">
        <v>46.06</v>
      </c>
      <c r="P7" s="41">
        <v>94.14</v>
      </c>
      <c r="Q7" s="41">
        <v>0</v>
      </c>
      <c r="R7" s="45">
        <v>1</v>
      </c>
      <c r="S7" s="46">
        <f>MIN(R7,Q7)*_xlfn.XLOOKUP($A7,tbl_Catalog[sku_id],tbl_Catalog[master_carton_qty])</f>
        <v>0</v>
      </c>
      <c r="T7" s="41">
        <f>IF(_xlfn.XLOOKUP($A7,tbl_Catalog[sku_id],tbl_Catalog[master_carton_qty])&gt;0,S7/_xlfn.XLOOKUP($A7,tbl_Catalog[sku_id],tbl_Catalog[master_carton_qty]),0)</f>
        <v>0</v>
      </c>
      <c r="U7" s="41">
        <v>0</v>
      </c>
      <c r="V7" s="41">
        <v>0</v>
      </c>
      <c r="W7" s="41">
        <v>0</v>
      </c>
      <c r="X7" s="30">
        <f>T7*_xlfn.XLOOKUP($A7,tbl_Catalog[sku_id],tbl_Catalog[carton_volume_cbm])</f>
        <v>0</v>
      </c>
      <c r="Y7" s="31">
        <f t="shared" si="2"/>
        <v>0</v>
      </c>
      <c r="Z7" s="47">
        <f t="shared" si="3"/>
        <v>0</v>
      </c>
      <c r="AA7" s="4" t="str">
        <f t="shared" si="4"/>
        <v>SHIELDED</v>
      </c>
      <c r="AB7" s="4" t="str">
        <f>IF(MOD(S7,_xlfn.XLOOKUP($A7,tbl_Catalog[sku_id],tbl_Catalog[master_carton_qty]))=0,"CARTON OK","CHECK")</f>
        <v>CARTON OK</v>
      </c>
    </row>
    <row r="8" spans="1:28" x14ac:dyDescent="0.3">
      <c r="A8" s="36" t="s">
        <v>185</v>
      </c>
      <c r="B8" s="16" t="s">
        <v>165</v>
      </c>
      <c r="C8" s="4" t="s">
        <v>188</v>
      </c>
      <c r="D8" s="41">
        <v>0</v>
      </c>
      <c r="E8" s="42">
        <f t="shared" si="0"/>
        <v>0</v>
      </c>
      <c r="F8" s="31">
        <v>0</v>
      </c>
      <c r="G8" s="31">
        <v>0</v>
      </c>
      <c r="H8" s="43">
        <f t="shared" si="1"/>
        <v>0</v>
      </c>
      <c r="I8" s="32">
        <v>0</v>
      </c>
      <c r="J8" s="4" t="b">
        <v>1</v>
      </c>
      <c r="K8" s="39">
        <v>0.68489999999999995</v>
      </c>
      <c r="L8" s="30">
        <v>0.44519999999999998</v>
      </c>
      <c r="M8" s="41">
        <v>3.39</v>
      </c>
      <c r="N8" s="44">
        <v>4</v>
      </c>
      <c r="O8" s="41">
        <v>13.59</v>
      </c>
      <c r="P8" s="41">
        <v>27.97</v>
      </c>
      <c r="Q8" s="41">
        <v>3</v>
      </c>
      <c r="R8" s="45">
        <v>0</v>
      </c>
      <c r="S8" s="46">
        <f>MIN(R8,Q8)*_xlfn.XLOOKUP($A8,tbl_Catalog[sku_id],tbl_Catalog[master_carton_qty])</f>
        <v>0</v>
      </c>
      <c r="T8" s="41">
        <f>IF(_xlfn.XLOOKUP($A8,tbl_Catalog[sku_id],tbl_Catalog[master_carton_qty])&gt;0,S8/_xlfn.XLOOKUP($A8,tbl_Catalog[sku_id],tbl_Catalog[master_carton_qty]),0)</f>
        <v>0</v>
      </c>
      <c r="U8" s="41">
        <v>0</v>
      </c>
      <c r="V8" s="41">
        <v>0</v>
      </c>
      <c r="W8" s="41">
        <v>0</v>
      </c>
      <c r="X8" s="30">
        <f>T8*_xlfn.XLOOKUP($A8,tbl_Catalog[sku_id],tbl_Catalog[carton_volume_cbm])</f>
        <v>0</v>
      </c>
      <c r="Y8" s="31">
        <f t="shared" si="2"/>
        <v>0</v>
      </c>
      <c r="Z8" s="47">
        <f t="shared" si="3"/>
        <v>0</v>
      </c>
      <c r="AA8" s="4" t="str">
        <f t="shared" si="4"/>
        <v>EXEMPT / AUDIT</v>
      </c>
      <c r="AB8" s="4" t="str">
        <f>IF(MOD(S8,_xlfn.XLOOKUP($A8,tbl_Catalog[sku_id],tbl_Catalog[master_carton_qty]))=0,"CARTON OK","CHECK")</f>
        <v>CARTON OK</v>
      </c>
    </row>
    <row r="9" spans="1:28" x14ac:dyDescent="0.3">
      <c r="A9" s="36" t="s">
        <v>189</v>
      </c>
      <c r="B9" s="16" t="s">
        <v>165</v>
      </c>
      <c r="C9" s="4" t="s">
        <v>188</v>
      </c>
      <c r="D9" s="41">
        <v>0</v>
      </c>
      <c r="E9" s="42">
        <f t="shared" si="0"/>
        <v>0</v>
      </c>
      <c r="F9" s="31">
        <v>0</v>
      </c>
      <c r="G9" s="31">
        <v>0</v>
      </c>
      <c r="H9" s="43">
        <f t="shared" si="1"/>
        <v>0</v>
      </c>
      <c r="I9" s="32">
        <v>0</v>
      </c>
      <c r="J9" s="4" t="b">
        <v>1</v>
      </c>
      <c r="K9" s="39">
        <v>0.68510000000000004</v>
      </c>
      <c r="L9" s="30">
        <v>0.44529999999999997</v>
      </c>
      <c r="M9" s="41">
        <v>3.39</v>
      </c>
      <c r="N9" s="44">
        <v>4</v>
      </c>
      <c r="O9" s="41">
        <v>13.59</v>
      </c>
      <c r="P9" s="41">
        <v>27.98</v>
      </c>
      <c r="Q9" s="41">
        <v>2</v>
      </c>
      <c r="R9" s="45">
        <v>0</v>
      </c>
      <c r="S9" s="46">
        <f>MIN(R9,Q9)*_xlfn.XLOOKUP($A9,tbl_Catalog[sku_id],tbl_Catalog[master_carton_qty])</f>
        <v>0</v>
      </c>
      <c r="T9" s="41">
        <f>IF(_xlfn.XLOOKUP($A9,tbl_Catalog[sku_id],tbl_Catalog[master_carton_qty])&gt;0,S9/_xlfn.XLOOKUP($A9,tbl_Catalog[sku_id],tbl_Catalog[master_carton_qty]),0)</f>
        <v>0</v>
      </c>
      <c r="U9" s="41">
        <v>0</v>
      </c>
      <c r="V9" s="41">
        <v>0</v>
      </c>
      <c r="W9" s="41">
        <v>0</v>
      </c>
      <c r="X9" s="30">
        <f>T9*_xlfn.XLOOKUP($A9,tbl_Catalog[sku_id],tbl_Catalog[carton_volume_cbm])</f>
        <v>0</v>
      </c>
      <c r="Y9" s="31">
        <f t="shared" si="2"/>
        <v>0</v>
      </c>
      <c r="Z9" s="47">
        <f t="shared" si="3"/>
        <v>0</v>
      </c>
      <c r="AA9" s="4" t="str">
        <f t="shared" si="4"/>
        <v>EXEMPT / AUDIT</v>
      </c>
      <c r="AB9" s="4" t="str">
        <f>IF(MOD(S9,_xlfn.XLOOKUP($A9,tbl_Catalog[sku_id],tbl_Catalog[master_carton_qty]))=0,"CARTON OK","CHECK")</f>
        <v>CARTON OK</v>
      </c>
    </row>
    <row r="10" spans="1:28" x14ac:dyDescent="0.3">
      <c r="A10" s="36" t="s">
        <v>193</v>
      </c>
      <c r="B10" s="16" t="s">
        <v>165</v>
      </c>
      <c r="C10" s="4" t="s">
        <v>188</v>
      </c>
      <c r="D10" s="41">
        <v>87</v>
      </c>
      <c r="E10" s="42">
        <f t="shared" si="0"/>
        <v>87</v>
      </c>
      <c r="F10" s="31">
        <v>251.18</v>
      </c>
      <c r="G10" s="31">
        <v>257.36</v>
      </c>
      <c r="H10" s="43">
        <f t="shared" si="1"/>
        <v>257.36</v>
      </c>
      <c r="I10" s="32">
        <v>0</v>
      </c>
      <c r="J10" s="4" t="b">
        <v>1</v>
      </c>
      <c r="K10" s="39">
        <v>0.36670000000000003</v>
      </c>
      <c r="L10" s="30">
        <v>0.495</v>
      </c>
      <c r="M10" s="41">
        <v>2.76</v>
      </c>
      <c r="N10" s="44">
        <v>3</v>
      </c>
      <c r="O10" s="41">
        <v>8.1300000000000008</v>
      </c>
      <c r="P10" s="41">
        <v>15.83</v>
      </c>
      <c r="Q10" s="41">
        <v>1</v>
      </c>
      <c r="R10" s="45">
        <v>0</v>
      </c>
      <c r="S10" s="46">
        <f>MIN(R10,Q10)*_xlfn.XLOOKUP($A10,tbl_Catalog[sku_id],tbl_Catalog[master_carton_qty])</f>
        <v>0</v>
      </c>
      <c r="T10" s="41">
        <f>IF(_xlfn.XLOOKUP($A10,tbl_Catalog[sku_id],tbl_Catalog[master_carton_qty])&gt;0,S10/_xlfn.XLOOKUP($A10,tbl_Catalog[sku_id],tbl_Catalog[master_carton_qty]),0)</f>
        <v>0</v>
      </c>
      <c r="U10" s="41">
        <v>0</v>
      </c>
      <c r="V10" s="41">
        <v>0</v>
      </c>
      <c r="W10" s="41">
        <v>0</v>
      </c>
      <c r="X10" s="30">
        <f>T10*_xlfn.XLOOKUP($A10,tbl_Catalog[sku_id],tbl_Catalog[carton_volume_cbm])</f>
        <v>0</v>
      </c>
      <c r="Y10" s="31">
        <f t="shared" si="2"/>
        <v>237.25115898554674</v>
      </c>
      <c r="Z10" s="47">
        <f t="shared" si="3"/>
        <v>0</v>
      </c>
      <c r="AA10" s="4" t="str">
        <f t="shared" si="4"/>
        <v>SHIELDED</v>
      </c>
      <c r="AB10" s="4" t="str">
        <f>IF(MOD(S10,_xlfn.XLOOKUP($A10,tbl_Catalog[sku_id],tbl_Catalog[master_carton_qty]))=0,"CARTON OK","CHECK")</f>
        <v>CARTON OK</v>
      </c>
    </row>
    <row r="11" spans="1:28" x14ac:dyDescent="0.3">
      <c r="A11" s="36" t="s">
        <v>196</v>
      </c>
      <c r="B11" s="16" t="s">
        <v>165</v>
      </c>
      <c r="C11" s="4" t="s">
        <v>188</v>
      </c>
      <c r="D11" s="41">
        <v>0</v>
      </c>
      <c r="E11" s="42">
        <f t="shared" si="0"/>
        <v>0</v>
      </c>
      <c r="F11" s="31">
        <v>0</v>
      </c>
      <c r="G11" s="31">
        <v>0</v>
      </c>
      <c r="H11" s="43">
        <f t="shared" si="1"/>
        <v>0</v>
      </c>
      <c r="I11" s="32">
        <v>0</v>
      </c>
      <c r="J11" s="4" t="b">
        <v>1</v>
      </c>
      <c r="K11" s="39">
        <v>0.71899999999999997</v>
      </c>
      <c r="L11" s="30">
        <v>0.46739999999999998</v>
      </c>
      <c r="M11" s="41">
        <v>3.56</v>
      </c>
      <c r="N11" s="44">
        <v>4</v>
      </c>
      <c r="O11" s="41">
        <v>14.07</v>
      </c>
      <c r="P11" s="41">
        <v>29.16</v>
      </c>
      <c r="Q11" s="41">
        <v>3</v>
      </c>
      <c r="R11" s="45">
        <v>0</v>
      </c>
      <c r="S11" s="46">
        <f>MIN(R11,Q11)*_xlfn.XLOOKUP($A11,tbl_Catalog[sku_id],tbl_Catalog[master_carton_qty])</f>
        <v>0</v>
      </c>
      <c r="T11" s="41">
        <f>IF(_xlfn.XLOOKUP($A11,tbl_Catalog[sku_id],tbl_Catalog[master_carton_qty])&gt;0,S11/_xlfn.XLOOKUP($A11,tbl_Catalog[sku_id],tbl_Catalog[master_carton_qty]),0)</f>
        <v>0</v>
      </c>
      <c r="U11" s="41">
        <v>0</v>
      </c>
      <c r="V11" s="41">
        <v>0</v>
      </c>
      <c r="W11" s="41">
        <v>0</v>
      </c>
      <c r="X11" s="30">
        <f>T11*_xlfn.XLOOKUP($A11,tbl_Catalog[sku_id],tbl_Catalog[carton_volume_cbm])</f>
        <v>0</v>
      </c>
      <c r="Y11" s="31">
        <f t="shared" si="2"/>
        <v>0</v>
      </c>
      <c r="Z11" s="47">
        <f t="shared" si="3"/>
        <v>0</v>
      </c>
      <c r="AA11" s="4" t="str">
        <f t="shared" si="4"/>
        <v>EXEMPT / AUDIT</v>
      </c>
      <c r="AB11" s="4" t="str">
        <f>IF(MOD(S11,_xlfn.XLOOKUP($A11,tbl_Catalog[sku_id],tbl_Catalog[master_carton_qty]))=0,"CARTON OK","CHECK")</f>
        <v>CARTON OK</v>
      </c>
    </row>
    <row r="12" spans="1:28" x14ac:dyDescent="0.3">
      <c r="A12" s="36" t="s">
        <v>200</v>
      </c>
      <c r="B12" s="16" t="s">
        <v>165</v>
      </c>
      <c r="C12" s="4" t="s">
        <v>188</v>
      </c>
      <c r="D12" s="41">
        <v>0</v>
      </c>
      <c r="E12" s="42">
        <f t="shared" si="0"/>
        <v>0</v>
      </c>
      <c r="F12" s="31">
        <v>0</v>
      </c>
      <c r="G12" s="31">
        <v>0</v>
      </c>
      <c r="H12" s="43">
        <f t="shared" si="1"/>
        <v>0</v>
      </c>
      <c r="I12" s="32">
        <v>0</v>
      </c>
      <c r="J12" s="4" t="b">
        <v>1</v>
      </c>
      <c r="K12" s="39">
        <v>0.28360000000000002</v>
      </c>
      <c r="L12" s="30">
        <v>0.18429999999999999</v>
      </c>
      <c r="M12" s="41">
        <v>1.4</v>
      </c>
      <c r="N12" s="44">
        <v>2</v>
      </c>
      <c r="O12" s="41">
        <v>5.97</v>
      </c>
      <c r="P12" s="41">
        <v>11.93</v>
      </c>
      <c r="Q12" s="41">
        <v>2</v>
      </c>
      <c r="R12" s="45">
        <v>0</v>
      </c>
      <c r="S12" s="46">
        <f>MIN(R12,Q12)*_xlfn.XLOOKUP($A12,tbl_Catalog[sku_id],tbl_Catalog[master_carton_qty])</f>
        <v>0</v>
      </c>
      <c r="T12" s="41">
        <f>IF(_xlfn.XLOOKUP($A12,tbl_Catalog[sku_id],tbl_Catalog[master_carton_qty])&gt;0,S12/_xlfn.XLOOKUP($A12,tbl_Catalog[sku_id],tbl_Catalog[master_carton_qty]),0)</f>
        <v>0</v>
      </c>
      <c r="U12" s="41">
        <v>0</v>
      </c>
      <c r="V12" s="41">
        <v>0</v>
      </c>
      <c r="W12" s="41">
        <v>0</v>
      </c>
      <c r="X12" s="30">
        <f>T12*_xlfn.XLOOKUP($A12,tbl_Catalog[sku_id],tbl_Catalog[carton_volume_cbm])</f>
        <v>0</v>
      </c>
      <c r="Y12" s="31">
        <f t="shared" si="2"/>
        <v>0</v>
      </c>
      <c r="Z12" s="47">
        <f t="shared" si="3"/>
        <v>0</v>
      </c>
      <c r="AA12" s="4" t="str">
        <f t="shared" si="4"/>
        <v>EXEMPT / AUDIT</v>
      </c>
      <c r="AB12" s="4" t="str">
        <f>IF(MOD(S12,_xlfn.XLOOKUP($A12,tbl_Catalog[sku_id],tbl_Catalog[master_carton_qty]))=0,"CARTON OK","CHECK")</f>
        <v>CARTON OK</v>
      </c>
    </row>
    <row r="13" spans="1:28" x14ac:dyDescent="0.3">
      <c r="A13" s="36" t="s">
        <v>203</v>
      </c>
      <c r="B13" s="16" t="s">
        <v>165</v>
      </c>
      <c r="C13" s="4" t="s">
        <v>188</v>
      </c>
      <c r="D13" s="41">
        <v>0</v>
      </c>
      <c r="E13" s="42">
        <f t="shared" si="0"/>
        <v>0</v>
      </c>
      <c r="F13" s="31">
        <v>0</v>
      </c>
      <c r="G13" s="31">
        <v>0</v>
      </c>
      <c r="H13" s="43">
        <f t="shared" si="1"/>
        <v>0</v>
      </c>
      <c r="I13" s="32">
        <v>0</v>
      </c>
      <c r="J13" s="4" t="b">
        <v>1</v>
      </c>
      <c r="K13" s="39">
        <v>0.51500000000000001</v>
      </c>
      <c r="L13" s="30">
        <v>0.33479999999999999</v>
      </c>
      <c r="M13" s="41">
        <v>2.5499999999999998</v>
      </c>
      <c r="N13" s="44">
        <v>3</v>
      </c>
      <c r="O13" s="41">
        <v>10.210000000000001</v>
      </c>
      <c r="P13" s="41">
        <v>21.02</v>
      </c>
      <c r="Q13" s="41">
        <v>3</v>
      </c>
      <c r="R13" s="45">
        <v>0</v>
      </c>
      <c r="S13" s="46">
        <f>MIN(R13,Q13)*_xlfn.XLOOKUP($A13,tbl_Catalog[sku_id],tbl_Catalog[master_carton_qty])</f>
        <v>0</v>
      </c>
      <c r="T13" s="41">
        <f>IF(_xlfn.XLOOKUP($A13,tbl_Catalog[sku_id],tbl_Catalog[master_carton_qty])&gt;0,S13/_xlfn.XLOOKUP($A13,tbl_Catalog[sku_id],tbl_Catalog[master_carton_qty]),0)</f>
        <v>0</v>
      </c>
      <c r="U13" s="41">
        <v>0</v>
      </c>
      <c r="V13" s="41">
        <v>0</v>
      </c>
      <c r="W13" s="41">
        <v>0</v>
      </c>
      <c r="X13" s="30">
        <f>T13*_xlfn.XLOOKUP($A13,tbl_Catalog[sku_id],tbl_Catalog[carton_volume_cbm])</f>
        <v>0</v>
      </c>
      <c r="Y13" s="31">
        <f t="shared" si="2"/>
        <v>0</v>
      </c>
      <c r="Z13" s="47">
        <f t="shared" si="3"/>
        <v>0</v>
      </c>
      <c r="AA13" s="4" t="str">
        <f t="shared" si="4"/>
        <v>EXEMPT / AUDIT</v>
      </c>
      <c r="AB13" s="4" t="str">
        <f>IF(MOD(S13,_xlfn.XLOOKUP($A13,tbl_Catalog[sku_id],tbl_Catalog[master_carton_qty]))=0,"CARTON OK","CHECK")</f>
        <v>CARTON OK</v>
      </c>
    </row>
    <row r="14" spans="1:28" x14ac:dyDescent="0.3">
      <c r="A14" s="36" t="s">
        <v>207</v>
      </c>
      <c r="B14" s="16" t="s">
        <v>165</v>
      </c>
      <c r="C14" s="4" t="s">
        <v>188</v>
      </c>
      <c r="D14" s="41">
        <v>0</v>
      </c>
      <c r="E14" s="42">
        <f t="shared" si="0"/>
        <v>0</v>
      </c>
      <c r="F14" s="31">
        <v>0</v>
      </c>
      <c r="G14" s="31">
        <v>0</v>
      </c>
      <c r="H14" s="43">
        <f t="shared" si="1"/>
        <v>0</v>
      </c>
      <c r="I14" s="32">
        <v>0</v>
      </c>
      <c r="J14" s="4" t="b">
        <v>1</v>
      </c>
      <c r="K14" s="39">
        <v>0.17910000000000001</v>
      </c>
      <c r="L14" s="30">
        <v>0.1164</v>
      </c>
      <c r="M14" s="41">
        <v>0.89</v>
      </c>
      <c r="N14" s="44">
        <v>1</v>
      </c>
      <c r="O14" s="41">
        <v>3.51</v>
      </c>
      <c r="P14" s="41">
        <v>7.27</v>
      </c>
      <c r="Q14" s="41">
        <v>3</v>
      </c>
      <c r="R14" s="45">
        <v>0</v>
      </c>
      <c r="S14" s="46">
        <f>MIN(R14,Q14)*_xlfn.XLOOKUP($A14,tbl_Catalog[sku_id],tbl_Catalog[master_carton_qty])</f>
        <v>0</v>
      </c>
      <c r="T14" s="41">
        <f>IF(_xlfn.XLOOKUP($A14,tbl_Catalog[sku_id],tbl_Catalog[master_carton_qty])&gt;0,S14/_xlfn.XLOOKUP($A14,tbl_Catalog[sku_id],tbl_Catalog[master_carton_qty]),0)</f>
        <v>0</v>
      </c>
      <c r="U14" s="41">
        <v>0</v>
      </c>
      <c r="V14" s="41">
        <v>0</v>
      </c>
      <c r="W14" s="41">
        <v>0</v>
      </c>
      <c r="X14" s="30">
        <f>T14*_xlfn.XLOOKUP($A14,tbl_Catalog[sku_id],tbl_Catalog[carton_volume_cbm])</f>
        <v>0</v>
      </c>
      <c r="Y14" s="31">
        <f t="shared" si="2"/>
        <v>0</v>
      </c>
      <c r="Z14" s="47">
        <f t="shared" si="3"/>
        <v>0</v>
      </c>
      <c r="AA14" s="4" t="str">
        <f t="shared" si="4"/>
        <v>EXEMPT / AUDIT</v>
      </c>
      <c r="AB14" s="4" t="str">
        <f>IF(MOD(S14,_xlfn.XLOOKUP($A14,tbl_Catalog[sku_id],tbl_Catalog[master_carton_qty]))=0,"CARTON OK","CHECK")</f>
        <v>CARTON OK</v>
      </c>
    </row>
    <row r="15" spans="1:28" x14ac:dyDescent="0.3">
      <c r="A15" s="36" t="s">
        <v>210</v>
      </c>
      <c r="B15" s="16" t="s">
        <v>165</v>
      </c>
      <c r="C15" s="4" t="s">
        <v>188</v>
      </c>
      <c r="D15" s="41">
        <v>125</v>
      </c>
      <c r="E15" s="42">
        <f t="shared" si="0"/>
        <v>125</v>
      </c>
      <c r="F15" s="31">
        <v>483.88</v>
      </c>
      <c r="G15" s="31">
        <v>607.79999999999995</v>
      </c>
      <c r="H15" s="43">
        <f t="shared" si="1"/>
        <v>607.79999999999995</v>
      </c>
      <c r="I15" s="32">
        <v>0</v>
      </c>
      <c r="J15" s="4" t="b">
        <v>1</v>
      </c>
      <c r="K15" s="39">
        <v>0.26669999999999999</v>
      </c>
      <c r="L15" s="30">
        <v>0.36</v>
      </c>
      <c r="M15" s="41">
        <v>2.0099999999999998</v>
      </c>
      <c r="N15" s="44">
        <v>3</v>
      </c>
      <c r="O15" s="41">
        <v>6.73</v>
      </c>
      <c r="P15" s="41">
        <v>12.33</v>
      </c>
      <c r="Q15" s="41">
        <v>0</v>
      </c>
      <c r="R15" s="45">
        <v>0</v>
      </c>
      <c r="S15" s="46">
        <f>MIN(R15,Q15)*_xlfn.XLOOKUP($A15,tbl_Catalog[sku_id],tbl_Catalog[master_carton_qty])</f>
        <v>0</v>
      </c>
      <c r="T15" s="41">
        <f>IF(_xlfn.XLOOKUP($A15,tbl_Catalog[sku_id],tbl_Catalog[master_carton_qty])&gt;0,S15/_xlfn.XLOOKUP($A15,tbl_Catalog[sku_id],tbl_Catalog[master_carton_qty]),0)</f>
        <v>0</v>
      </c>
      <c r="U15" s="41">
        <v>0</v>
      </c>
      <c r="V15" s="41">
        <v>0</v>
      </c>
      <c r="W15" s="41">
        <v>0</v>
      </c>
      <c r="X15" s="30">
        <f>T15*_xlfn.XLOOKUP($A15,tbl_Catalog[sku_id],tbl_Catalog[carton_volume_cbm])</f>
        <v>0</v>
      </c>
      <c r="Y15" s="31">
        <f t="shared" si="2"/>
        <v>468.69141357330335</v>
      </c>
      <c r="Z15" s="47">
        <f t="shared" si="3"/>
        <v>0</v>
      </c>
      <c r="AA15" s="4" t="str">
        <f t="shared" si="4"/>
        <v>SHIELDED</v>
      </c>
      <c r="AB15" s="4" t="str">
        <f>IF(MOD(S15,_xlfn.XLOOKUP($A15,tbl_Catalog[sku_id],tbl_Catalog[master_carton_qty]))=0,"CARTON OK","CHECK")</f>
        <v>CARTON OK</v>
      </c>
    </row>
    <row r="16" spans="1:28" x14ac:dyDescent="0.3">
      <c r="A16" s="36" t="s">
        <v>214</v>
      </c>
      <c r="B16" s="16" t="s">
        <v>165</v>
      </c>
      <c r="C16" s="4" t="s">
        <v>188</v>
      </c>
      <c r="D16" s="41">
        <v>0</v>
      </c>
      <c r="E16" s="42">
        <f t="shared" si="0"/>
        <v>0</v>
      </c>
      <c r="F16" s="31">
        <v>0</v>
      </c>
      <c r="G16" s="31">
        <v>0</v>
      </c>
      <c r="H16" s="43">
        <f t="shared" si="1"/>
        <v>0</v>
      </c>
      <c r="I16" s="32">
        <v>0</v>
      </c>
      <c r="J16" s="4" t="b">
        <v>1</v>
      </c>
      <c r="K16" s="39">
        <v>0.115</v>
      </c>
      <c r="L16" s="30">
        <v>7.4800000000000005E-2</v>
      </c>
      <c r="M16" s="41">
        <v>0.56999999999999995</v>
      </c>
      <c r="N16" s="44">
        <v>1</v>
      </c>
      <c r="O16" s="41">
        <v>2.61</v>
      </c>
      <c r="P16" s="41">
        <v>5.03</v>
      </c>
      <c r="Q16" s="41">
        <v>3</v>
      </c>
      <c r="R16" s="45">
        <v>0</v>
      </c>
      <c r="S16" s="46">
        <f>MIN(R16,Q16)*_xlfn.XLOOKUP($A16,tbl_Catalog[sku_id],tbl_Catalog[master_carton_qty])</f>
        <v>0</v>
      </c>
      <c r="T16" s="41">
        <f>IF(_xlfn.XLOOKUP($A16,tbl_Catalog[sku_id],tbl_Catalog[master_carton_qty])&gt;0,S16/_xlfn.XLOOKUP($A16,tbl_Catalog[sku_id],tbl_Catalog[master_carton_qty]),0)</f>
        <v>0</v>
      </c>
      <c r="U16" s="41">
        <v>0</v>
      </c>
      <c r="V16" s="41">
        <v>0</v>
      </c>
      <c r="W16" s="41">
        <v>0</v>
      </c>
      <c r="X16" s="30">
        <f>T16*_xlfn.XLOOKUP($A16,tbl_Catalog[sku_id],tbl_Catalog[carton_volume_cbm])</f>
        <v>0</v>
      </c>
      <c r="Y16" s="31">
        <f t="shared" si="2"/>
        <v>0</v>
      </c>
      <c r="Z16" s="47">
        <f t="shared" si="3"/>
        <v>0</v>
      </c>
      <c r="AA16" s="4" t="str">
        <f t="shared" si="4"/>
        <v>EXEMPT / AUDIT</v>
      </c>
      <c r="AB16" s="4" t="str">
        <f>IF(MOD(S16,_xlfn.XLOOKUP($A16,tbl_Catalog[sku_id],tbl_Catalog[master_carton_qty]))=0,"CARTON OK","CHECK")</f>
        <v>CARTON OK</v>
      </c>
    </row>
    <row r="17" spans="1:28" x14ac:dyDescent="0.3">
      <c r="A17" s="36" t="s">
        <v>217</v>
      </c>
      <c r="B17" s="16" t="s">
        <v>165</v>
      </c>
      <c r="C17" s="4" t="s">
        <v>221</v>
      </c>
      <c r="D17" s="41">
        <v>0</v>
      </c>
      <c r="E17" s="42">
        <f t="shared" si="0"/>
        <v>0</v>
      </c>
      <c r="F17" s="31">
        <v>3.78</v>
      </c>
      <c r="G17" s="31">
        <v>4.38</v>
      </c>
      <c r="H17" s="43">
        <f t="shared" si="1"/>
        <v>4.38</v>
      </c>
      <c r="I17" s="32">
        <v>0</v>
      </c>
      <c r="J17" s="4" t="b">
        <v>1</v>
      </c>
      <c r="K17" s="39">
        <v>32.287100000000002</v>
      </c>
      <c r="L17" s="30">
        <v>10.2539</v>
      </c>
      <c r="M17" s="41">
        <v>213.99</v>
      </c>
      <c r="N17" s="44">
        <v>214</v>
      </c>
      <c r="O17" s="41">
        <v>666.02</v>
      </c>
      <c r="P17" s="41">
        <v>1344.05</v>
      </c>
      <c r="Q17" s="41">
        <v>6</v>
      </c>
      <c r="R17" s="45">
        <v>14</v>
      </c>
      <c r="S17" s="46">
        <f>MIN(R17,Q17)*_xlfn.XLOOKUP($A17,tbl_Catalog[sku_id],tbl_Catalog[master_carton_qty])</f>
        <v>600</v>
      </c>
      <c r="T17" s="41">
        <f>IF(_xlfn.XLOOKUP($A17,tbl_Catalog[sku_id],tbl_Catalog[master_carton_qty])&gt;0,S17/_xlfn.XLOOKUP($A17,tbl_Catalog[sku_id],tbl_Catalog[master_carton_qty]),0)</f>
        <v>6</v>
      </c>
      <c r="U17" s="41">
        <v>0</v>
      </c>
      <c r="V17" s="41">
        <v>0</v>
      </c>
      <c r="W17" s="41">
        <v>0</v>
      </c>
      <c r="X17" s="30">
        <f>T17*_xlfn.XLOOKUP($A17,tbl_Catalog[sku_id],tbl_Catalog[carton_volume_cbm])</f>
        <v>0.36</v>
      </c>
      <c r="Y17" s="31">
        <f t="shared" si="2"/>
        <v>18.583273195796462</v>
      </c>
      <c r="Z17" s="47">
        <f t="shared" si="3"/>
        <v>0</v>
      </c>
      <c r="AA17" s="4" t="str">
        <f t="shared" si="4"/>
        <v>EXEMPT / AUDIT</v>
      </c>
      <c r="AB17" s="4" t="str">
        <f>IF(MOD(S17,_xlfn.XLOOKUP($A17,tbl_Catalog[sku_id],tbl_Catalog[master_carton_qty]))=0,"CARTON OK","CHECK")</f>
        <v>CARTON OK</v>
      </c>
    </row>
    <row r="18" spans="1:28" x14ac:dyDescent="0.3">
      <c r="A18" s="36" t="s">
        <v>222</v>
      </c>
      <c r="B18" s="16" t="s">
        <v>165</v>
      </c>
      <c r="C18" s="4" t="s">
        <v>221</v>
      </c>
      <c r="D18" s="41">
        <v>658</v>
      </c>
      <c r="E18" s="42">
        <f t="shared" si="0"/>
        <v>658</v>
      </c>
      <c r="F18" s="31">
        <v>37.85</v>
      </c>
      <c r="G18" s="31">
        <v>29.92</v>
      </c>
      <c r="H18" s="43">
        <f t="shared" si="1"/>
        <v>37.85</v>
      </c>
      <c r="I18" s="32">
        <v>0</v>
      </c>
      <c r="J18" s="4" t="b">
        <v>0</v>
      </c>
      <c r="K18" s="39">
        <v>27.4815</v>
      </c>
      <c r="L18" s="30">
        <v>8.5995000000000008</v>
      </c>
      <c r="M18" s="41">
        <v>181.78</v>
      </c>
      <c r="N18" s="44">
        <v>880</v>
      </c>
      <c r="O18" s="41">
        <v>1264.74</v>
      </c>
      <c r="P18" s="41">
        <v>1841.85</v>
      </c>
      <c r="Q18" s="41">
        <v>0</v>
      </c>
      <c r="R18" s="45">
        <v>12</v>
      </c>
      <c r="S18" s="46">
        <f>MIN(R18,Q18)*_xlfn.XLOOKUP($A18,tbl_Catalog[sku_id],tbl_Catalog[master_carton_qty])</f>
        <v>0</v>
      </c>
      <c r="T18" s="41">
        <f>IF(_xlfn.XLOOKUP($A18,tbl_Catalog[sku_id],tbl_Catalog[master_carton_qty])&gt;0,S18/_xlfn.XLOOKUP($A18,tbl_Catalog[sku_id],tbl_Catalog[master_carton_qty]),0)</f>
        <v>0</v>
      </c>
      <c r="U18" s="41">
        <v>0</v>
      </c>
      <c r="V18" s="41">
        <v>0</v>
      </c>
      <c r="W18" s="41">
        <v>0</v>
      </c>
      <c r="X18" s="30">
        <f>T18*_xlfn.XLOOKUP($A18,tbl_Catalog[sku_id],tbl_Catalog[carton_volume_cbm])</f>
        <v>0</v>
      </c>
      <c r="Y18" s="31">
        <f t="shared" si="2"/>
        <v>23.943380092061933</v>
      </c>
      <c r="Z18" s="47">
        <f t="shared" si="3"/>
        <v>0</v>
      </c>
      <c r="AA18" s="4" t="str">
        <f t="shared" si="4"/>
        <v>SHIELDED</v>
      </c>
      <c r="AB18" s="4" t="str">
        <f>IF(MOD(S18,_xlfn.XLOOKUP($A18,tbl_Catalog[sku_id],tbl_Catalog[master_carton_qty]))=0,"CARTON OK","CHECK")</f>
        <v>CARTON OK</v>
      </c>
    </row>
    <row r="19" spans="1:28" x14ac:dyDescent="0.3">
      <c r="A19" s="36" t="s">
        <v>225</v>
      </c>
      <c r="B19" s="16" t="s">
        <v>165</v>
      </c>
      <c r="C19" s="4" t="s">
        <v>221</v>
      </c>
      <c r="D19" s="41">
        <v>0</v>
      </c>
      <c r="E19" s="42">
        <f t="shared" si="0"/>
        <v>0</v>
      </c>
      <c r="F19" s="31">
        <v>10.3</v>
      </c>
      <c r="G19" s="31">
        <v>11.67</v>
      </c>
      <c r="H19" s="43">
        <f t="shared" si="1"/>
        <v>11.67</v>
      </c>
      <c r="I19" s="32">
        <v>0.89</v>
      </c>
      <c r="J19" s="4" t="b">
        <v>0</v>
      </c>
      <c r="K19" s="39">
        <v>36.4527</v>
      </c>
      <c r="L19" s="30">
        <v>11.6648</v>
      </c>
      <c r="M19" s="41">
        <v>241.85</v>
      </c>
      <c r="N19" s="44">
        <v>1167</v>
      </c>
      <c r="O19" s="41">
        <v>1677.34</v>
      </c>
      <c r="P19" s="41">
        <v>2442.84</v>
      </c>
      <c r="Q19" s="41">
        <v>18</v>
      </c>
      <c r="R19" s="45">
        <v>25</v>
      </c>
      <c r="S19" s="46">
        <f>MIN(R19,Q19)*_xlfn.XLOOKUP($A19,tbl_Catalog[sku_id],tbl_Catalog[master_carton_qty])</f>
        <v>1800</v>
      </c>
      <c r="T19" s="41">
        <f>IF(_xlfn.XLOOKUP($A19,tbl_Catalog[sku_id],tbl_Catalog[master_carton_qty])&gt;0,S19/_xlfn.XLOOKUP($A19,tbl_Catalog[sku_id],tbl_Catalog[master_carton_qty]),0)</f>
        <v>18</v>
      </c>
      <c r="U19" s="41">
        <v>0</v>
      </c>
      <c r="V19" s="41">
        <v>0</v>
      </c>
      <c r="W19" s="41">
        <v>0</v>
      </c>
      <c r="X19" s="30">
        <f>T19*_xlfn.XLOOKUP($A19,tbl_Catalog[sku_id],tbl_Catalog[carton_volume_cbm])</f>
        <v>1.08</v>
      </c>
      <c r="Y19" s="31">
        <f t="shared" si="2"/>
        <v>49.379058341357428</v>
      </c>
      <c r="Z19" s="47">
        <f t="shared" si="3"/>
        <v>1602</v>
      </c>
      <c r="AA19" s="4" t="str">
        <f t="shared" si="4"/>
        <v>LOW-INVENTORY FEE ACTIVE</v>
      </c>
      <c r="AB19" s="4" t="str">
        <f>IF(MOD(S19,_xlfn.XLOOKUP($A19,tbl_Catalog[sku_id],tbl_Catalog[master_carton_qty]))=0,"CARTON OK","CHECK")</f>
        <v>CARTON OK</v>
      </c>
    </row>
    <row r="20" spans="1:28" x14ac:dyDescent="0.3">
      <c r="A20" s="36" t="s">
        <v>228</v>
      </c>
      <c r="B20" s="16" t="s">
        <v>165</v>
      </c>
      <c r="C20" s="4" t="s">
        <v>221</v>
      </c>
      <c r="D20" s="41">
        <v>233</v>
      </c>
      <c r="E20" s="42">
        <f t="shared" si="0"/>
        <v>233</v>
      </c>
      <c r="F20" s="31">
        <v>27.18</v>
      </c>
      <c r="G20" s="31">
        <v>27.34</v>
      </c>
      <c r="H20" s="43">
        <f t="shared" si="1"/>
        <v>27.34</v>
      </c>
      <c r="I20" s="32">
        <v>0.32</v>
      </c>
      <c r="J20" s="4" t="b">
        <v>0</v>
      </c>
      <c r="K20" s="39">
        <v>17.399999999999999</v>
      </c>
      <c r="L20" s="30">
        <v>5.5679999999999996</v>
      </c>
      <c r="M20" s="41">
        <v>115.44</v>
      </c>
      <c r="N20" s="44">
        <v>557</v>
      </c>
      <c r="O20" s="41">
        <v>800.6</v>
      </c>
      <c r="P20" s="41">
        <v>1166</v>
      </c>
      <c r="Q20" s="41">
        <v>0</v>
      </c>
      <c r="R20" s="45">
        <v>10</v>
      </c>
      <c r="S20" s="46">
        <f>MIN(R20,Q20)*_xlfn.XLOOKUP($A20,tbl_Catalog[sku_id],tbl_Catalog[master_carton_qty])</f>
        <v>0</v>
      </c>
      <c r="T20" s="41">
        <f>IF(_xlfn.XLOOKUP($A20,tbl_Catalog[sku_id],tbl_Catalog[master_carton_qty])&gt;0,S20/_xlfn.XLOOKUP($A20,tbl_Catalog[sku_id],tbl_Catalog[master_carton_qty]),0)</f>
        <v>0</v>
      </c>
      <c r="U20" s="41">
        <v>0</v>
      </c>
      <c r="V20" s="41">
        <v>0</v>
      </c>
      <c r="W20" s="41">
        <v>0</v>
      </c>
      <c r="X20" s="30">
        <f>T20*_xlfn.XLOOKUP($A20,tbl_Catalog[sku_id],tbl_Catalog[carton_volume_cbm])</f>
        <v>0</v>
      </c>
      <c r="Y20" s="31">
        <f t="shared" si="2"/>
        <v>13.39080459770115</v>
      </c>
      <c r="Z20" s="47">
        <f t="shared" si="3"/>
        <v>0</v>
      </c>
      <c r="AA20" s="4" t="str">
        <f t="shared" si="4"/>
        <v>LOW-INVENTORY FEE ACTIVE</v>
      </c>
      <c r="AB20" s="4" t="str">
        <f>IF(MOD(S20,_xlfn.XLOOKUP($A20,tbl_Catalog[sku_id],tbl_Catalog[master_carton_qty]))=0,"CARTON OK","CHECK")</f>
        <v>CARTON OK</v>
      </c>
    </row>
    <row r="21" spans="1:28" x14ac:dyDescent="0.3">
      <c r="A21" s="36" t="s">
        <v>231</v>
      </c>
      <c r="B21" s="16" t="s">
        <v>165</v>
      </c>
      <c r="C21" s="4" t="s">
        <v>221</v>
      </c>
      <c r="D21" s="41">
        <v>561</v>
      </c>
      <c r="E21" s="42">
        <f t="shared" si="0"/>
        <v>561</v>
      </c>
      <c r="F21" s="31">
        <v>25.77</v>
      </c>
      <c r="G21" s="31">
        <v>27.3</v>
      </c>
      <c r="H21" s="43">
        <f t="shared" si="1"/>
        <v>27.3</v>
      </c>
      <c r="I21" s="32">
        <v>0.32</v>
      </c>
      <c r="J21" s="4" t="b">
        <v>0</v>
      </c>
      <c r="K21" s="39">
        <v>19.966699999999999</v>
      </c>
      <c r="L21" s="30">
        <v>5.0400999999999998</v>
      </c>
      <c r="M21" s="41">
        <v>128.99</v>
      </c>
      <c r="N21" s="44">
        <v>639</v>
      </c>
      <c r="O21" s="41">
        <v>918.53</v>
      </c>
      <c r="P21" s="41">
        <v>1337.83</v>
      </c>
      <c r="Q21" s="41">
        <v>8</v>
      </c>
      <c r="R21" s="45">
        <v>8</v>
      </c>
      <c r="S21" s="46">
        <f>MIN(R21,Q21)*_xlfn.XLOOKUP($A21,tbl_Catalog[sku_id],tbl_Catalog[master_carton_qty])</f>
        <v>800</v>
      </c>
      <c r="T21" s="41">
        <f>IF(_xlfn.XLOOKUP($A21,tbl_Catalog[sku_id],tbl_Catalog[master_carton_qty])&gt;0,S21/_xlfn.XLOOKUP($A21,tbl_Catalog[sku_id],tbl_Catalog[master_carton_qty]),0)</f>
        <v>8</v>
      </c>
      <c r="U21" s="41">
        <v>0</v>
      </c>
      <c r="V21" s="41">
        <v>0</v>
      </c>
      <c r="W21" s="41">
        <v>0</v>
      </c>
      <c r="X21" s="30">
        <f>T21*_xlfn.XLOOKUP($A21,tbl_Catalog[sku_id],tbl_Catalog[carton_volume_cbm])</f>
        <v>0.48</v>
      </c>
      <c r="Y21" s="31">
        <f t="shared" si="2"/>
        <v>68.1634922145372</v>
      </c>
      <c r="Z21" s="47">
        <f t="shared" si="3"/>
        <v>256</v>
      </c>
      <c r="AA21" s="4" t="str">
        <f t="shared" si="4"/>
        <v>LOW-INVENTORY FEE ACTIVE</v>
      </c>
      <c r="AB21" s="4" t="str">
        <f>IF(MOD(S21,_xlfn.XLOOKUP($A21,tbl_Catalog[sku_id],tbl_Catalog[master_carton_qty]))=0,"CARTON OK","CHECK")</f>
        <v>CARTON OK</v>
      </c>
    </row>
    <row r="22" spans="1:28" x14ac:dyDescent="0.3">
      <c r="A22" s="36" t="s">
        <v>234</v>
      </c>
      <c r="B22" s="16" t="s">
        <v>165</v>
      </c>
      <c r="C22" s="4" t="s">
        <v>184</v>
      </c>
      <c r="D22" s="41">
        <v>0</v>
      </c>
      <c r="E22" s="42">
        <f t="shared" si="0"/>
        <v>0</v>
      </c>
      <c r="F22" s="31">
        <v>3.36</v>
      </c>
      <c r="G22" s="31">
        <v>25.37</v>
      </c>
      <c r="H22" s="43">
        <f t="shared" si="1"/>
        <v>25.37</v>
      </c>
      <c r="I22" s="32">
        <v>0</v>
      </c>
      <c r="J22" s="4" t="b">
        <v>1</v>
      </c>
      <c r="K22" s="39">
        <v>2.2080000000000002</v>
      </c>
      <c r="L22" s="30">
        <v>1.1040000000000001</v>
      </c>
      <c r="M22" s="41">
        <v>12.84</v>
      </c>
      <c r="N22" s="44">
        <v>13</v>
      </c>
      <c r="O22" s="41">
        <v>43.91</v>
      </c>
      <c r="P22" s="41">
        <v>90.28</v>
      </c>
      <c r="Q22" s="41">
        <v>0</v>
      </c>
      <c r="R22" s="45">
        <v>1</v>
      </c>
      <c r="S22" s="46">
        <f>MIN(R22,Q22)*_xlfn.XLOOKUP($A22,tbl_Catalog[sku_id],tbl_Catalog[master_carton_qty])</f>
        <v>0</v>
      </c>
      <c r="T22" s="41">
        <f>IF(_xlfn.XLOOKUP($A22,tbl_Catalog[sku_id],tbl_Catalog[master_carton_qty])&gt;0,S22/_xlfn.XLOOKUP($A22,tbl_Catalog[sku_id],tbl_Catalog[master_carton_qty]),0)</f>
        <v>0</v>
      </c>
      <c r="U22" s="41">
        <v>0</v>
      </c>
      <c r="V22" s="41">
        <v>0</v>
      </c>
      <c r="W22" s="41">
        <v>0</v>
      </c>
      <c r="X22" s="30">
        <f>T22*_xlfn.XLOOKUP($A22,tbl_Catalog[sku_id],tbl_Catalog[carton_volume_cbm])</f>
        <v>0</v>
      </c>
      <c r="Y22" s="31">
        <f t="shared" si="2"/>
        <v>0</v>
      </c>
      <c r="Z22" s="47">
        <f t="shared" si="3"/>
        <v>0</v>
      </c>
      <c r="AA22" s="4" t="str">
        <f t="shared" si="4"/>
        <v>EXEMPT / AUDIT</v>
      </c>
      <c r="AB22" s="4" t="str">
        <f>IF(MOD(S22,_xlfn.XLOOKUP($A22,tbl_Catalog[sku_id],tbl_Catalog[master_carton_qty]))=0,"CARTON OK","CHECK")</f>
        <v>CARTON OK</v>
      </c>
    </row>
    <row r="23" spans="1:28" x14ac:dyDescent="0.3">
      <c r="A23" s="36" t="s">
        <v>237</v>
      </c>
      <c r="B23" s="16" t="s">
        <v>165</v>
      </c>
      <c r="C23" s="4" t="s">
        <v>221</v>
      </c>
      <c r="D23" s="41">
        <v>0</v>
      </c>
      <c r="E23" s="42">
        <f t="shared" si="0"/>
        <v>0</v>
      </c>
      <c r="F23" s="31">
        <v>13.54</v>
      </c>
      <c r="G23" s="31">
        <v>22.95</v>
      </c>
      <c r="H23" s="43">
        <f t="shared" si="1"/>
        <v>22.95</v>
      </c>
      <c r="I23" s="32">
        <v>0.32</v>
      </c>
      <c r="J23" s="4" t="b">
        <v>0</v>
      </c>
      <c r="K23" s="39">
        <v>19.149100000000001</v>
      </c>
      <c r="L23" s="30">
        <v>6.1025999999999998</v>
      </c>
      <c r="M23" s="41">
        <v>126.98</v>
      </c>
      <c r="N23" s="44">
        <v>613</v>
      </c>
      <c r="O23" s="41">
        <v>881.09</v>
      </c>
      <c r="P23" s="41">
        <v>1283.22</v>
      </c>
      <c r="Q23" s="41">
        <v>0</v>
      </c>
      <c r="R23" s="45">
        <v>13</v>
      </c>
      <c r="S23" s="46">
        <f>MIN(R23,Q23)*_xlfn.XLOOKUP($A23,tbl_Catalog[sku_id],tbl_Catalog[master_carton_qty])</f>
        <v>0</v>
      </c>
      <c r="T23" s="41">
        <f>IF(_xlfn.XLOOKUP($A23,tbl_Catalog[sku_id],tbl_Catalog[master_carton_qty])&gt;0,S23/_xlfn.XLOOKUP($A23,tbl_Catalog[sku_id],tbl_Catalog[master_carton_qty]),0)</f>
        <v>0</v>
      </c>
      <c r="U23" s="41">
        <v>0</v>
      </c>
      <c r="V23" s="41">
        <v>0</v>
      </c>
      <c r="W23" s="41">
        <v>0</v>
      </c>
      <c r="X23" s="30">
        <f>T23*_xlfn.XLOOKUP($A23,tbl_Catalog[sku_id],tbl_Catalog[carton_volume_cbm])</f>
        <v>0</v>
      </c>
      <c r="Y23" s="31">
        <f t="shared" si="2"/>
        <v>0</v>
      </c>
      <c r="Z23" s="47">
        <f t="shared" si="3"/>
        <v>0</v>
      </c>
      <c r="AA23" s="4" t="str">
        <f t="shared" si="4"/>
        <v>LOW-INVENTORY FEE ACTIVE</v>
      </c>
      <c r="AB23" s="4" t="str">
        <f>IF(MOD(S23,_xlfn.XLOOKUP($A23,tbl_Catalog[sku_id],tbl_Catalog[master_carton_qty]))=0,"CARTON OK","CHECK")</f>
        <v>CARTON OK</v>
      </c>
    </row>
    <row r="24" spans="1:28" x14ac:dyDescent="0.3">
      <c r="A24" s="36" t="s">
        <v>240</v>
      </c>
      <c r="B24" s="16" t="s">
        <v>165</v>
      </c>
      <c r="C24" s="4" t="s">
        <v>184</v>
      </c>
      <c r="D24" s="41">
        <v>0</v>
      </c>
      <c r="E24" s="42">
        <f t="shared" si="0"/>
        <v>0</v>
      </c>
      <c r="F24" s="31">
        <v>0</v>
      </c>
      <c r="G24" s="31">
        <v>0</v>
      </c>
      <c r="H24" s="43">
        <f t="shared" si="1"/>
        <v>0</v>
      </c>
      <c r="I24" s="32">
        <v>0</v>
      </c>
      <c r="J24" s="4" t="b">
        <v>1</v>
      </c>
      <c r="K24" s="39">
        <v>2.2332000000000001</v>
      </c>
      <c r="L24" s="30">
        <v>0.67</v>
      </c>
      <c r="M24" s="41">
        <v>11.77</v>
      </c>
      <c r="N24" s="44">
        <v>12</v>
      </c>
      <c r="O24" s="41">
        <v>43.26</v>
      </c>
      <c r="P24" s="41">
        <v>90.16</v>
      </c>
      <c r="Q24" s="41">
        <v>1</v>
      </c>
      <c r="R24" s="45">
        <v>1</v>
      </c>
      <c r="S24" s="46">
        <f>MIN(R24,Q24)*_xlfn.XLOOKUP($A24,tbl_Catalog[sku_id],tbl_Catalog[master_carton_qty])</f>
        <v>100</v>
      </c>
      <c r="T24" s="41">
        <f>IF(_xlfn.XLOOKUP($A24,tbl_Catalog[sku_id],tbl_Catalog[master_carton_qty])&gt;0,S24/_xlfn.XLOOKUP($A24,tbl_Catalog[sku_id],tbl_Catalog[master_carton_qty]),0)</f>
        <v>1</v>
      </c>
      <c r="U24" s="41">
        <v>0</v>
      </c>
      <c r="V24" s="41">
        <v>0</v>
      </c>
      <c r="W24" s="41">
        <v>0</v>
      </c>
      <c r="X24" s="30">
        <f>T24*_xlfn.XLOOKUP($A24,tbl_Catalog[sku_id],tbl_Catalog[carton_volume_cbm])</f>
        <v>0.06</v>
      </c>
      <c r="Y24" s="31">
        <f t="shared" si="2"/>
        <v>44.778792763747084</v>
      </c>
      <c r="Z24" s="47">
        <f t="shared" si="3"/>
        <v>0</v>
      </c>
      <c r="AA24" s="4" t="str">
        <f t="shared" si="4"/>
        <v>EXEMPT / AUDIT</v>
      </c>
      <c r="AB24" s="4" t="str">
        <f>IF(MOD(S24,_xlfn.XLOOKUP($A24,tbl_Catalog[sku_id],tbl_Catalog[master_carton_qty]))=0,"CARTON OK","CHECK")</f>
        <v>CARTON OK</v>
      </c>
    </row>
    <row r="25" spans="1:28" x14ac:dyDescent="0.3">
      <c r="A25" s="36" t="s">
        <v>243</v>
      </c>
      <c r="B25" s="16" t="s">
        <v>165</v>
      </c>
      <c r="C25" s="4" t="s">
        <v>172</v>
      </c>
      <c r="D25" s="41">
        <v>299</v>
      </c>
      <c r="E25" s="42">
        <f t="shared" si="0"/>
        <v>299</v>
      </c>
      <c r="F25" s="31">
        <v>32.67</v>
      </c>
      <c r="G25" s="31">
        <v>37.020000000000003</v>
      </c>
      <c r="H25" s="43">
        <f t="shared" si="1"/>
        <v>37.020000000000003</v>
      </c>
      <c r="I25" s="32">
        <v>0</v>
      </c>
      <c r="J25" s="4" t="b">
        <v>0</v>
      </c>
      <c r="K25" s="39">
        <v>11.833299999999999</v>
      </c>
      <c r="L25" s="30">
        <v>5.2088999999999999</v>
      </c>
      <c r="M25" s="41">
        <v>76.180000000000007</v>
      </c>
      <c r="N25" s="44">
        <v>379</v>
      </c>
      <c r="O25" s="41">
        <v>544.66999999999996</v>
      </c>
      <c r="P25" s="41">
        <v>793.17</v>
      </c>
      <c r="Q25" s="41">
        <v>0</v>
      </c>
      <c r="R25" s="45">
        <v>5</v>
      </c>
      <c r="S25" s="46">
        <f>MIN(R25,Q25)*_xlfn.XLOOKUP($A25,tbl_Catalog[sku_id],tbl_Catalog[master_carton_qty])</f>
        <v>0</v>
      </c>
      <c r="T25" s="41">
        <f>IF(_xlfn.XLOOKUP($A25,tbl_Catalog[sku_id],tbl_Catalog[master_carton_qty])&gt;0,S25/_xlfn.XLOOKUP($A25,tbl_Catalog[sku_id],tbl_Catalog[master_carton_qty]),0)</f>
        <v>0</v>
      </c>
      <c r="U25" s="41">
        <v>0</v>
      </c>
      <c r="V25" s="41">
        <v>0</v>
      </c>
      <c r="W25" s="41">
        <v>0</v>
      </c>
      <c r="X25" s="30">
        <f>T25*_xlfn.XLOOKUP($A25,tbl_Catalog[sku_id],tbl_Catalog[carton_volume_cbm])</f>
        <v>0</v>
      </c>
      <c r="Y25" s="31">
        <f t="shared" si="2"/>
        <v>25.267676810357212</v>
      </c>
      <c r="Z25" s="47">
        <f t="shared" si="3"/>
        <v>0</v>
      </c>
      <c r="AA25" s="4" t="str">
        <f t="shared" si="4"/>
        <v>SHIELDED</v>
      </c>
      <c r="AB25" s="4" t="str">
        <f>IF(MOD(S25,_xlfn.XLOOKUP($A25,tbl_Catalog[sku_id],tbl_Catalog[master_carton_qty]))=0,"CARTON OK","CHECK")</f>
        <v>CARTON OK</v>
      </c>
    </row>
    <row r="26" spans="1:28" x14ac:dyDescent="0.3">
      <c r="A26" s="36" t="s">
        <v>246</v>
      </c>
      <c r="B26" s="16" t="s">
        <v>165</v>
      </c>
      <c r="C26" s="4" t="s">
        <v>179</v>
      </c>
      <c r="D26" s="41">
        <v>0</v>
      </c>
      <c r="E26" s="42">
        <f t="shared" si="0"/>
        <v>0</v>
      </c>
      <c r="F26" s="31">
        <v>0</v>
      </c>
      <c r="G26" s="31">
        <v>2.78</v>
      </c>
      <c r="H26" s="43">
        <f t="shared" si="1"/>
        <v>2.78</v>
      </c>
      <c r="I26" s="32">
        <v>0</v>
      </c>
      <c r="J26" s="4" t="b">
        <v>1</v>
      </c>
      <c r="K26" s="39">
        <v>1.6586000000000001</v>
      </c>
      <c r="L26" s="30">
        <v>1.1277999999999999</v>
      </c>
      <c r="M26" s="41">
        <v>10.73</v>
      </c>
      <c r="N26" s="44">
        <v>11</v>
      </c>
      <c r="O26" s="41">
        <v>34.22</v>
      </c>
      <c r="P26" s="41">
        <v>69.05</v>
      </c>
      <c r="Q26" s="41">
        <v>3</v>
      </c>
      <c r="R26" s="45">
        <v>1</v>
      </c>
      <c r="S26" s="46">
        <f>MIN(R26,Q26)*_xlfn.XLOOKUP($A26,tbl_Catalog[sku_id],tbl_Catalog[master_carton_qty])</f>
        <v>100</v>
      </c>
      <c r="T26" s="41">
        <f>IF(_xlfn.XLOOKUP($A26,tbl_Catalog[sku_id],tbl_Catalog[master_carton_qty])&gt;0,S26/_xlfn.XLOOKUP($A26,tbl_Catalog[sku_id],tbl_Catalog[master_carton_qty]),0)</f>
        <v>1</v>
      </c>
      <c r="U26" s="41">
        <v>0</v>
      </c>
      <c r="V26" s="41">
        <v>0</v>
      </c>
      <c r="W26" s="41">
        <v>0</v>
      </c>
      <c r="X26" s="30">
        <f>T26*_xlfn.XLOOKUP($A26,tbl_Catalog[sku_id],tbl_Catalog[carton_volume_cbm])</f>
        <v>0.06</v>
      </c>
      <c r="Y26" s="31">
        <f t="shared" si="2"/>
        <v>60.2918123718799</v>
      </c>
      <c r="Z26" s="47">
        <f t="shared" si="3"/>
        <v>0</v>
      </c>
      <c r="AA26" s="4" t="str">
        <f t="shared" si="4"/>
        <v>EXEMPT / AUDIT</v>
      </c>
      <c r="AB26" s="4" t="str">
        <f>IF(MOD(S26,_xlfn.XLOOKUP($A26,tbl_Catalog[sku_id],tbl_Catalog[master_carton_qty]))=0,"CARTON OK","CHECK")</f>
        <v>CARTON OK</v>
      </c>
    </row>
    <row r="27" spans="1:28" x14ac:dyDescent="0.3">
      <c r="A27" s="36" t="s">
        <v>249</v>
      </c>
      <c r="B27" s="16" t="s">
        <v>165</v>
      </c>
      <c r="C27" s="4" t="s">
        <v>179</v>
      </c>
      <c r="D27" s="41">
        <v>99</v>
      </c>
      <c r="E27" s="42">
        <f t="shared" si="0"/>
        <v>99</v>
      </c>
      <c r="F27" s="31">
        <v>73.61</v>
      </c>
      <c r="G27" s="31">
        <v>78.3</v>
      </c>
      <c r="H27" s="43">
        <f t="shared" si="1"/>
        <v>78.3</v>
      </c>
      <c r="I27" s="32">
        <v>0</v>
      </c>
      <c r="J27" s="4" t="b">
        <v>1</v>
      </c>
      <c r="K27" s="39">
        <v>1.7</v>
      </c>
      <c r="L27" s="30">
        <v>1.1559999999999999</v>
      </c>
      <c r="M27" s="41">
        <v>11</v>
      </c>
      <c r="N27" s="44">
        <v>12</v>
      </c>
      <c r="O27" s="41">
        <v>35.799999999999997</v>
      </c>
      <c r="P27" s="41">
        <v>71.5</v>
      </c>
      <c r="Q27" s="41">
        <v>0</v>
      </c>
      <c r="R27" s="45">
        <v>0</v>
      </c>
      <c r="S27" s="46">
        <f>MIN(R27,Q27)*_xlfn.XLOOKUP($A27,tbl_Catalog[sku_id],tbl_Catalog[master_carton_qty])</f>
        <v>0</v>
      </c>
      <c r="T27" s="41">
        <f>IF(_xlfn.XLOOKUP($A27,tbl_Catalog[sku_id],tbl_Catalog[master_carton_qty])&gt;0,S27/_xlfn.XLOOKUP($A27,tbl_Catalog[sku_id],tbl_Catalog[master_carton_qty]),0)</f>
        <v>0</v>
      </c>
      <c r="U27" s="41">
        <v>0</v>
      </c>
      <c r="V27" s="41">
        <v>0</v>
      </c>
      <c r="W27" s="41">
        <v>0</v>
      </c>
      <c r="X27" s="30">
        <f>T27*_xlfn.XLOOKUP($A27,tbl_Catalog[sku_id],tbl_Catalog[carton_volume_cbm])</f>
        <v>0</v>
      </c>
      <c r="Y27" s="31">
        <f t="shared" si="2"/>
        <v>58.235294117647058</v>
      </c>
      <c r="Z27" s="47">
        <f t="shared" si="3"/>
        <v>0</v>
      </c>
      <c r="AA27" s="4" t="str">
        <f t="shared" si="4"/>
        <v>SHIELDED</v>
      </c>
      <c r="AB27" s="4" t="str">
        <f>IF(MOD(S27,_xlfn.XLOOKUP($A27,tbl_Catalog[sku_id],tbl_Catalog[master_carton_qty]))=0,"CARTON OK","CHECK")</f>
        <v>CARTON OK</v>
      </c>
    </row>
    <row r="28" spans="1:28" x14ac:dyDescent="0.3">
      <c r="A28" s="36" t="s">
        <v>252</v>
      </c>
      <c r="B28" s="16" t="s">
        <v>165</v>
      </c>
      <c r="C28" s="4" t="s">
        <v>188</v>
      </c>
      <c r="D28" s="41">
        <v>0</v>
      </c>
      <c r="E28" s="42">
        <f t="shared" si="0"/>
        <v>0</v>
      </c>
      <c r="F28" s="31">
        <v>0</v>
      </c>
      <c r="G28" s="31">
        <v>0</v>
      </c>
      <c r="H28" s="43">
        <f t="shared" si="1"/>
        <v>0</v>
      </c>
      <c r="I28" s="32">
        <v>0</v>
      </c>
      <c r="J28" s="4" t="b">
        <v>1</v>
      </c>
      <c r="K28" s="39">
        <v>0.68589999999999995</v>
      </c>
      <c r="L28" s="30">
        <v>0.44579999999999997</v>
      </c>
      <c r="M28" s="41">
        <v>3.4</v>
      </c>
      <c r="N28" s="44">
        <v>4</v>
      </c>
      <c r="O28" s="41">
        <v>13.6</v>
      </c>
      <c r="P28" s="41">
        <v>28.01</v>
      </c>
      <c r="Q28" s="41">
        <v>3</v>
      </c>
      <c r="R28" s="45">
        <v>0</v>
      </c>
      <c r="S28" s="46">
        <f>MIN(R28,Q28)*_xlfn.XLOOKUP($A28,tbl_Catalog[sku_id],tbl_Catalog[master_carton_qty])</f>
        <v>0</v>
      </c>
      <c r="T28" s="41">
        <f>IF(_xlfn.XLOOKUP($A28,tbl_Catalog[sku_id],tbl_Catalog[master_carton_qty])&gt;0,S28/_xlfn.XLOOKUP($A28,tbl_Catalog[sku_id],tbl_Catalog[master_carton_qty]),0)</f>
        <v>0</v>
      </c>
      <c r="U28" s="41">
        <v>0</v>
      </c>
      <c r="V28" s="41">
        <v>0</v>
      </c>
      <c r="W28" s="41">
        <v>0</v>
      </c>
      <c r="X28" s="30">
        <f>T28*_xlfn.XLOOKUP($A28,tbl_Catalog[sku_id],tbl_Catalog[carton_volume_cbm])</f>
        <v>0</v>
      </c>
      <c r="Y28" s="31">
        <f t="shared" si="2"/>
        <v>0</v>
      </c>
      <c r="Z28" s="47">
        <f t="shared" si="3"/>
        <v>0</v>
      </c>
      <c r="AA28" s="4" t="str">
        <f t="shared" si="4"/>
        <v>EXEMPT / AUDIT</v>
      </c>
      <c r="AB28" s="4" t="str">
        <f>IF(MOD(S28,_xlfn.XLOOKUP($A28,tbl_Catalog[sku_id],tbl_Catalog[master_carton_qty]))=0,"CARTON OK","CHECK")</f>
        <v>CARTON OK</v>
      </c>
    </row>
    <row r="29" spans="1:28" x14ac:dyDescent="0.3">
      <c r="A29" s="36" t="s">
        <v>255</v>
      </c>
      <c r="B29" s="16" t="s">
        <v>165</v>
      </c>
      <c r="C29" s="4" t="s">
        <v>221</v>
      </c>
      <c r="D29" s="41">
        <v>905</v>
      </c>
      <c r="E29" s="42">
        <f t="shared" si="0"/>
        <v>1005</v>
      </c>
      <c r="F29" s="31">
        <v>28.88</v>
      </c>
      <c r="G29" s="31">
        <v>28.53</v>
      </c>
      <c r="H29" s="43">
        <f t="shared" si="1"/>
        <v>28.88</v>
      </c>
      <c r="I29" s="32">
        <v>0</v>
      </c>
      <c r="J29" s="4" t="b">
        <v>0</v>
      </c>
      <c r="K29" s="39">
        <v>42.917400000000001</v>
      </c>
      <c r="L29" s="30">
        <v>13.733599999999999</v>
      </c>
      <c r="M29" s="41">
        <v>284.74</v>
      </c>
      <c r="N29" s="44">
        <v>1374</v>
      </c>
      <c r="O29" s="41">
        <v>1974.84</v>
      </c>
      <c r="P29" s="41">
        <v>2876.11</v>
      </c>
      <c r="Q29" s="41">
        <v>0</v>
      </c>
      <c r="R29" s="45">
        <v>19</v>
      </c>
      <c r="S29" s="46">
        <f>MIN(R29,Q29)*_xlfn.XLOOKUP($A29,tbl_Catalog[sku_id],tbl_Catalog[master_carton_qty])</f>
        <v>0</v>
      </c>
      <c r="T29" s="41">
        <f>IF(_xlfn.XLOOKUP($A29,tbl_Catalog[sku_id],tbl_Catalog[master_carton_qty])&gt;0,S29/_xlfn.XLOOKUP($A29,tbl_Catalog[sku_id],tbl_Catalog[master_carton_qty]),0)</f>
        <v>0</v>
      </c>
      <c r="U29" s="41">
        <v>0</v>
      </c>
      <c r="V29" s="41">
        <v>100</v>
      </c>
      <c r="W29" s="41">
        <v>0</v>
      </c>
      <c r="X29" s="30">
        <f>T29*_xlfn.XLOOKUP($A29,tbl_Catalog[sku_id],tbl_Catalog[carton_volume_cbm])</f>
        <v>0</v>
      </c>
      <c r="Y29" s="31">
        <f t="shared" si="2"/>
        <v>23.417075591718046</v>
      </c>
      <c r="Z29" s="47">
        <f t="shared" si="3"/>
        <v>0</v>
      </c>
      <c r="AA29" s="4" t="str">
        <f t="shared" si="4"/>
        <v>SHIELDED</v>
      </c>
      <c r="AB29" s="4" t="str">
        <f>IF(MOD(S29,_xlfn.XLOOKUP($A29,tbl_Catalog[sku_id],tbl_Catalog[master_carton_qty]))=0,"CARTON OK","CHECK")</f>
        <v>CARTON OK</v>
      </c>
    </row>
    <row r="30" spans="1:28" x14ac:dyDescent="0.3">
      <c r="A30" s="36" t="s">
        <v>259</v>
      </c>
      <c r="B30" s="16" t="s">
        <v>165</v>
      </c>
      <c r="C30" s="4" t="s">
        <v>221</v>
      </c>
      <c r="D30" s="41">
        <v>0</v>
      </c>
      <c r="E30" s="42">
        <f t="shared" si="0"/>
        <v>800</v>
      </c>
      <c r="F30" s="31">
        <v>5.5</v>
      </c>
      <c r="G30" s="31">
        <v>24.78</v>
      </c>
      <c r="H30" s="43">
        <f t="shared" si="1"/>
        <v>24.78</v>
      </c>
      <c r="I30" s="32">
        <v>0</v>
      </c>
      <c r="J30" s="4" t="b">
        <v>1</v>
      </c>
      <c r="K30" s="39">
        <v>18.315000000000001</v>
      </c>
      <c r="L30" s="30">
        <v>5.8608000000000002</v>
      </c>
      <c r="M30" s="41">
        <v>121.51</v>
      </c>
      <c r="N30" s="44">
        <v>122</v>
      </c>
      <c r="O30" s="41">
        <v>378.41</v>
      </c>
      <c r="P30" s="41">
        <v>763.03</v>
      </c>
      <c r="Q30" s="41">
        <v>6</v>
      </c>
      <c r="R30" s="45">
        <v>0</v>
      </c>
      <c r="S30" s="46">
        <f>MIN(R30,Q30)*_xlfn.XLOOKUP($A30,tbl_Catalog[sku_id],tbl_Catalog[master_carton_qty])</f>
        <v>0</v>
      </c>
      <c r="T30" s="41">
        <f>IF(_xlfn.XLOOKUP($A30,tbl_Catalog[sku_id],tbl_Catalog[master_carton_qty])&gt;0,S30/_xlfn.XLOOKUP($A30,tbl_Catalog[sku_id],tbl_Catalog[master_carton_qty]),0)</f>
        <v>0</v>
      </c>
      <c r="U30" s="41">
        <v>0</v>
      </c>
      <c r="V30" s="41">
        <v>800</v>
      </c>
      <c r="W30" s="41">
        <v>0</v>
      </c>
      <c r="X30" s="30">
        <f>T30*_xlfn.XLOOKUP($A30,tbl_Catalog[sku_id],tbl_Catalog[carton_volume_cbm])</f>
        <v>0</v>
      </c>
      <c r="Y30" s="31">
        <f t="shared" si="2"/>
        <v>43.680043680043674</v>
      </c>
      <c r="Z30" s="47">
        <f t="shared" si="3"/>
        <v>0</v>
      </c>
      <c r="AA30" s="4" t="str">
        <f t="shared" si="4"/>
        <v>EXEMPT / AUDIT</v>
      </c>
      <c r="AB30" s="4" t="str">
        <f>IF(MOD(S30,_xlfn.XLOOKUP($A30,tbl_Catalog[sku_id],tbl_Catalog[master_carton_qty]))=0,"CARTON OK","CHECK")</f>
        <v>CARTON OK</v>
      </c>
    </row>
    <row r="31" spans="1:28" x14ac:dyDescent="0.3">
      <c r="A31" s="36" t="s">
        <v>262</v>
      </c>
      <c r="B31" s="16" t="s">
        <v>165</v>
      </c>
      <c r="C31" s="4" t="s">
        <v>221</v>
      </c>
      <c r="D31" s="41">
        <v>777</v>
      </c>
      <c r="E31" s="42">
        <f t="shared" si="0"/>
        <v>1005</v>
      </c>
      <c r="F31" s="31">
        <v>24.87</v>
      </c>
      <c r="G31" s="31">
        <v>25.24</v>
      </c>
      <c r="H31" s="43">
        <f t="shared" si="1"/>
        <v>25.24</v>
      </c>
      <c r="I31" s="32">
        <v>0.32</v>
      </c>
      <c r="J31" s="4" t="b">
        <v>0</v>
      </c>
      <c r="K31" s="39">
        <v>25.2667</v>
      </c>
      <c r="L31" s="30">
        <v>6.1151999999999997</v>
      </c>
      <c r="M31" s="41">
        <v>162.63</v>
      </c>
      <c r="N31" s="44">
        <v>809</v>
      </c>
      <c r="O31" s="41">
        <v>1162.73</v>
      </c>
      <c r="P31" s="41">
        <v>1693.33</v>
      </c>
      <c r="Q31" s="41">
        <v>6</v>
      </c>
      <c r="R31" s="45">
        <v>7</v>
      </c>
      <c r="S31" s="46">
        <f>MIN(R31,Q31)*_xlfn.XLOOKUP($A31,tbl_Catalog[sku_id],tbl_Catalog[master_carton_qty])</f>
        <v>600</v>
      </c>
      <c r="T31" s="41">
        <f>IF(_xlfn.XLOOKUP($A31,tbl_Catalog[sku_id],tbl_Catalog[master_carton_qty])&gt;0,S31/_xlfn.XLOOKUP($A31,tbl_Catalog[sku_id],tbl_Catalog[master_carton_qty]),0)</f>
        <v>6</v>
      </c>
      <c r="U31" s="41">
        <v>228</v>
      </c>
      <c r="V31" s="41">
        <v>0</v>
      </c>
      <c r="W31" s="41">
        <v>0</v>
      </c>
      <c r="X31" s="30">
        <f>T31*_xlfn.XLOOKUP($A31,tbl_Catalog[sku_id],tbl_Catalog[carton_volume_cbm])</f>
        <v>0.36</v>
      </c>
      <c r="Y31" s="31">
        <f t="shared" si="2"/>
        <v>63.522343638069081</v>
      </c>
      <c r="Z31" s="47">
        <f t="shared" si="3"/>
        <v>192</v>
      </c>
      <c r="AA31" s="4" t="str">
        <f t="shared" si="4"/>
        <v>LOW-INVENTORY FEE ACTIVE</v>
      </c>
      <c r="AB31" s="4" t="str">
        <f>IF(MOD(S31,_xlfn.XLOOKUP($A31,tbl_Catalog[sku_id],tbl_Catalog[master_carton_qty]))=0,"CARTON OK","CHECK")</f>
        <v>CARTON OK</v>
      </c>
    </row>
    <row r="32" spans="1:28" x14ac:dyDescent="0.3">
      <c r="A32" s="36" t="s">
        <v>265</v>
      </c>
      <c r="B32" s="16" t="s">
        <v>165</v>
      </c>
      <c r="C32" s="4" t="s">
        <v>172</v>
      </c>
      <c r="D32" s="41">
        <v>374</v>
      </c>
      <c r="E32" s="42">
        <f t="shared" si="0"/>
        <v>474</v>
      </c>
      <c r="F32" s="31">
        <v>27.76</v>
      </c>
      <c r="G32" s="31">
        <v>33.96</v>
      </c>
      <c r="H32" s="43">
        <f t="shared" si="1"/>
        <v>33.96</v>
      </c>
      <c r="I32" s="32">
        <v>0</v>
      </c>
      <c r="J32" s="4" t="b">
        <v>0</v>
      </c>
      <c r="K32" s="39">
        <v>11.433299999999999</v>
      </c>
      <c r="L32" s="30">
        <v>4.8281999999999998</v>
      </c>
      <c r="M32" s="41">
        <v>72.92</v>
      </c>
      <c r="N32" s="44">
        <v>366</v>
      </c>
      <c r="O32" s="41">
        <v>526.07000000000005</v>
      </c>
      <c r="P32" s="41">
        <v>766.17</v>
      </c>
      <c r="Q32" s="41">
        <v>0</v>
      </c>
      <c r="R32" s="45">
        <v>3</v>
      </c>
      <c r="S32" s="46">
        <f>MIN(R32,Q32)*_xlfn.XLOOKUP($A32,tbl_Catalog[sku_id],tbl_Catalog[master_carton_qty])</f>
        <v>0</v>
      </c>
      <c r="T32" s="41">
        <f>IF(_xlfn.XLOOKUP($A32,tbl_Catalog[sku_id],tbl_Catalog[master_carton_qty])&gt;0,S32/_xlfn.XLOOKUP($A32,tbl_Catalog[sku_id],tbl_Catalog[master_carton_qty]),0)</f>
        <v>0</v>
      </c>
      <c r="U32" s="41">
        <v>0</v>
      </c>
      <c r="V32" s="41">
        <v>100</v>
      </c>
      <c r="W32" s="41">
        <v>0</v>
      </c>
      <c r="X32" s="30">
        <f>T32*_xlfn.XLOOKUP($A32,tbl_Catalog[sku_id],tbl_Catalog[carton_volume_cbm])</f>
        <v>0</v>
      </c>
      <c r="Y32" s="31">
        <f t="shared" si="2"/>
        <v>41.457846815879932</v>
      </c>
      <c r="Z32" s="47">
        <f t="shared" si="3"/>
        <v>0</v>
      </c>
      <c r="AA32" s="4" t="str">
        <f t="shared" si="4"/>
        <v>SHIELDED</v>
      </c>
      <c r="AB32" s="4" t="str">
        <f>IF(MOD(S32,_xlfn.XLOOKUP($A32,tbl_Catalog[sku_id],tbl_Catalog[master_carton_qty]))=0,"CARTON OK","CHECK")</f>
        <v>CARTON OK</v>
      </c>
    </row>
    <row r="33" spans="1:28" x14ac:dyDescent="0.3">
      <c r="A33" s="36" t="s">
        <v>268</v>
      </c>
      <c r="B33" s="16" t="s">
        <v>165</v>
      </c>
      <c r="C33" s="4" t="s">
        <v>172</v>
      </c>
      <c r="D33" s="41">
        <v>383</v>
      </c>
      <c r="E33" s="42">
        <f t="shared" si="0"/>
        <v>783</v>
      </c>
      <c r="F33" s="31">
        <v>39.520000000000003</v>
      </c>
      <c r="G33" s="31">
        <v>42.18</v>
      </c>
      <c r="H33" s="43">
        <f t="shared" si="1"/>
        <v>42.18</v>
      </c>
      <c r="I33" s="32">
        <v>0</v>
      </c>
      <c r="J33" s="4" t="b">
        <v>0</v>
      </c>
      <c r="K33" s="39">
        <v>14.166700000000001</v>
      </c>
      <c r="L33" s="30">
        <v>5.6513</v>
      </c>
      <c r="M33" s="41">
        <v>89.29</v>
      </c>
      <c r="N33" s="44">
        <v>454</v>
      </c>
      <c r="O33" s="41">
        <v>652.33000000000004</v>
      </c>
      <c r="P33" s="41">
        <v>949.83</v>
      </c>
      <c r="Q33" s="41">
        <v>0</v>
      </c>
      <c r="R33" s="45">
        <v>0</v>
      </c>
      <c r="S33" s="46">
        <f>MIN(R33,Q33)*_xlfn.XLOOKUP($A33,tbl_Catalog[sku_id],tbl_Catalog[master_carton_qty])</f>
        <v>0</v>
      </c>
      <c r="T33" s="41">
        <f>IF(_xlfn.XLOOKUP($A33,tbl_Catalog[sku_id],tbl_Catalog[master_carton_qty])&gt;0,S33/_xlfn.XLOOKUP($A33,tbl_Catalog[sku_id],tbl_Catalog[master_carton_qty]),0)</f>
        <v>0</v>
      </c>
      <c r="U33" s="41">
        <v>0</v>
      </c>
      <c r="V33" s="41">
        <v>0</v>
      </c>
      <c r="W33" s="41">
        <v>400</v>
      </c>
      <c r="X33" s="30">
        <f>T33*_xlfn.XLOOKUP($A33,tbl_Catalog[sku_id],tbl_Catalog[carton_volume_cbm])</f>
        <v>0</v>
      </c>
      <c r="Y33" s="31">
        <f t="shared" si="2"/>
        <v>55.270458187157203</v>
      </c>
      <c r="Z33" s="47">
        <f t="shared" si="3"/>
        <v>0</v>
      </c>
      <c r="AA33" s="4" t="str">
        <f t="shared" si="4"/>
        <v>SHIELDED</v>
      </c>
      <c r="AB33" s="4" t="str">
        <f>IF(MOD(S33,_xlfn.XLOOKUP($A33,tbl_Catalog[sku_id],tbl_Catalog[master_carton_qty]))=0,"CARTON OK","CHECK")</f>
        <v>CARTON OK</v>
      </c>
    </row>
    <row r="34" spans="1:28" x14ac:dyDescent="0.3">
      <c r="A34" s="36" t="s">
        <v>271</v>
      </c>
      <c r="B34" s="16" t="s">
        <v>165</v>
      </c>
      <c r="C34" s="4" t="s">
        <v>179</v>
      </c>
      <c r="D34" s="41">
        <v>112</v>
      </c>
      <c r="E34" s="42">
        <f t="shared" si="0"/>
        <v>112</v>
      </c>
      <c r="F34" s="31">
        <v>76.09</v>
      </c>
      <c r="G34" s="31">
        <v>59.52</v>
      </c>
      <c r="H34" s="43">
        <f t="shared" si="1"/>
        <v>76.09</v>
      </c>
      <c r="I34" s="32">
        <v>0</v>
      </c>
      <c r="J34" s="4" t="b">
        <v>1</v>
      </c>
      <c r="K34" s="39">
        <v>1.4666999999999999</v>
      </c>
      <c r="L34" s="30">
        <v>0.99729999999999996</v>
      </c>
      <c r="M34" s="41">
        <v>9.49</v>
      </c>
      <c r="N34" s="44">
        <v>10</v>
      </c>
      <c r="O34" s="41">
        <v>30.53</v>
      </c>
      <c r="P34" s="41">
        <v>61.33</v>
      </c>
      <c r="Q34" s="41">
        <v>0</v>
      </c>
      <c r="R34" s="45">
        <v>0</v>
      </c>
      <c r="S34" s="46">
        <f>MIN(R34,Q34)*_xlfn.XLOOKUP($A34,tbl_Catalog[sku_id],tbl_Catalog[master_carton_qty])</f>
        <v>0</v>
      </c>
      <c r="T34" s="41">
        <f>IF(_xlfn.XLOOKUP($A34,tbl_Catalog[sku_id],tbl_Catalog[master_carton_qty])&gt;0,S34/_xlfn.XLOOKUP($A34,tbl_Catalog[sku_id],tbl_Catalog[master_carton_qty]),0)</f>
        <v>0</v>
      </c>
      <c r="U34" s="41">
        <v>0</v>
      </c>
      <c r="V34" s="41">
        <v>0</v>
      </c>
      <c r="W34" s="41">
        <v>0</v>
      </c>
      <c r="X34" s="30">
        <f>T34*_xlfn.XLOOKUP($A34,tbl_Catalog[sku_id],tbl_Catalog[carton_volume_cbm])</f>
        <v>0</v>
      </c>
      <c r="Y34" s="31">
        <f t="shared" si="2"/>
        <v>76.36190086588941</v>
      </c>
      <c r="Z34" s="47">
        <f t="shared" si="3"/>
        <v>0</v>
      </c>
      <c r="AA34" s="4" t="str">
        <f t="shared" si="4"/>
        <v>SHIELDED</v>
      </c>
      <c r="AB34" s="4" t="str">
        <f>IF(MOD(S34,_xlfn.XLOOKUP($A34,tbl_Catalog[sku_id],tbl_Catalog[master_carton_qty]))=0,"CARTON OK","CHECK")</f>
        <v>CARTON OK</v>
      </c>
    </row>
    <row r="35" spans="1:28" x14ac:dyDescent="0.3">
      <c r="A35" s="36" t="s">
        <v>274</v>
      </c>
      <c r="B35" s="16" t="s">
        <v>165</v>
      </c>
      <c r="C35" s="4" t="s">
        <v>172</v>
      </c>
      <c r="D35" s="41">
        <v>356</v>
      </c>
      <c r="E35" s="42">
        <f t="shared" si="0"/>
        <v>356</v>
      </c>
      <c r="F35" s="31">
        <v>37.75</v>
      </c>
      <c r="G35" s="31">
        <v>27.39</v>
      </c>
      <c r="H35" s="43">
        <f t="shared" si="1"/>
        <v>37.75</v>
      </c>
      <c r="I35" s="32">
        <v>0</v>
      </c>
      <c r="J35" s="4" t="b">
        <v>0</v>
      </c>
      <c r="K35" s="39">
        <v>12.2</v>
      </c>
      <c r="L35" s="30">
        <v>5.49</v>
      </c>
      <c r="M35" s="41">
        <v>78.95</v>
      </c>
      <c r="N35" s="44">
        <v>391</v>
      </c>
      <c r="O35" s="41">
        <v>561.79999999999995</v>
      </c>
      <c r="P35" s="41">
        <v>818</v>
      </c>
      <c r="Q35" s="41">
        <v>0</v>
      </c>
      <c r="R35" s="45">
        <v>5</v>
      </c>
      <c r="S35" s="46">
        <f>MIN(R35,Q35)*_xlfn.XLOOKUP($A35,tbl_Catalog[sku_id],tbl_Catalog[master_carton_qty])</f>
        <v>0</v>
      </c>
      <c r="T35" s="41">
        <f>IF(_xlfn.XLOOKUP($A35,tbl_Catalog[sku_id],tbl_Catalog[master_carton_qty])&gt;0,S35/_xlfn.XLOOKUP($A35,tbl_Catalog[sku_id],tbl_Catalog[master_carton_qty]),0)</f>
        <v>0</v>
      </c>
      <c r="U35" s="41">
        <v>0</v>
      </c>
      <c r="V35" s="41">
        <v>0</v>
      </c>
      <c r="W35" s="41">
        <v>0</v>
      </c>
      <c r="X35" s="30">
        <f>T35*_xlfn.XLOOKUP($A35,tbl_Catalog[sku_id],tbl_Catalog[carton_volume_cbm])</f>
        <v>0</v>
      </c>
      <c r="Y35" s="31">
        <f t="shared" si="2"/>
        <v>29.180327868852462</v>
      </c>
      <c r="Z35" s="47">
        <f t="shared" si="3"/>
        <v>0</v>
      </c>
      <c r="AA35" s="4" t="str">
        <f t="shared" si="4"/>
        <v>SHIELDED</v>
      </c>
      <c r="AB35" s="4" t="str">
        <f>IF(MOD(S35,_xlfn.XLOOKUP($A35,tbl_Catalog[sku_id],tbl_Catalog[master_carton_qty]))=0,"CARTON OK","CHECK")</f>
        <v>CARTON OK</v>
      </c>
    </row>
    <row r="36" spans="1:28" x14ac:dyDescent="0.3">
      <c r="A36" s="36" t="s">
        <v>277</v>
      </c>
      <c r="B36" s="16" t="s">
        <v>165</v>
      </c>
      <c r="C36" s="4" t="s">
        <v>188</v>
      </c>
      <c r="D36" s="41">
        <v>0</v>
      </c>
      <c r="E36" s="42">
        <f t="shared" si="0"/>
        <v>0</v>
      </c>
      <c r="F36" s="31">
        <v>0</v>
      </c>
      <c r="G36" s="31">
        <v>0</v>
      </c>
      <c r="H36" s="43">
        <f t="shared" si="1"/>
        <v>0</v>
      </c>
      <c r="I36" s="32">
        <v>0</v>
      </c>
      <c r="J36" s="4" t="b">
        <v>1</v>
      </c>
      <c r="K36" s="39">
        <v>0.74039999999999995</v>
      </c>
      <c r="L36" s="30">
        <v>0.48130000000000001</v>
      </c>
      <c r="M36" s="41">
        <v>3.67</v>
      </c>
      <c r="N36" s="44">
        <v>4</v>
      </c>
      <c r="O36" s="41">
        <v>14.37</v>
      </c>
      <c r="P36" s="41">
        <v>29.91</v>
      </c>
      <c r="Q36" s="41">
        <v>3</v>
      </c>
      <c r="R36" s="45">
        <v>0</v>
      </c>
      <c r="S36" s="46">
        <f>MIN(R36,Q36)*_xlfn.XLOOKUP($A36,tbl_Catalog[sku_id],tbl_Catalog[master_carton_qty])</f>
        <v>0</v>
      </c>
      <c r="T36" s="41">
        <f>IF(_xlfn.XLOOKUP($A36,tbl_Catalog[sku_id],tbl_Catalog[master_carton_qty])&gt;0,S36/_xlfn.XLOOKUP($A36,tbl_Catalog[sku_id],tbl_Catalog[master_carton_qty]),0)</f>
        <v>0</v>
      </c>
      <c r="U36" s="41">
        <v>0</v>
      </c>
      <c r="V36" s="41">
        <v>0</v>
      </c>
      <c r="W36" s="41">
        <v>0</v>
      </c>
      <c r="X36" s="30">
        <f>T36*_xlfn.XLOOKUP($A36,tbl_Catalog[sku_id],tbl_Catalog[carton_volume_cbm])</f>
        <v>0</v>
      </c>
      <c r="Y36" s="31">
        <f t="shared" si="2"/>
        <v>0</v>
      </c>
      <c r="Z36" s="47">
        <f t="shared" si="3"/>
        <v>0</v>
      </c>
      <c r="AA36" s="4" t="str">
        <f t="shared" si="4"/>
        <v>EXEMPT / AUDIT</v>
      </c>
      <c r="AB36" s="4" t="str">
        <f>IF(MOD(S36,_xlfn.XLOOKUP($A36,tbl_Catalog[sku_id],tbl_Catalog[master_carton_qty]))=0,"CARTON OK","CHECK")</f>
        <v>CARTON OK</v>
      </c>
    </row>
    <row r="37" spans="1:28" x14ac:dyDescent="0.3">
      <c r="A37" s="36" t="s">
        <v>280</v>
      </c>
      <c r="B37" s="16" t="s">
        <v>165</v>
      </c>
      <c r="C37" s="4" t="s">
        <v>184</v>
      </c>
      <c r="D37" s="41">
        <v>73</v>
      </c>
      <c r="E37" s="42">
        <f t="shared" ref="E37:E68" si="5">D37+U37+V37+W37</f>
        <v>73</v>
      </c>
      <c r="F37" s="31">
        <v>33.369999999999997</v>
      </c>
      <c r="G37" s="31">
        <v>31.59</v>
      </c>
      <c r="H37" s="43">
        <f t="shared" ref="H37:H68" si="6">MAX(F37,G37)</f>
        <v>33.369999999999997</v>
      </c>
      <c r="I37" s="32">
        <v>0</v>
      </c>
      <c r="J37" s="4" t="b">
        <v>1</v>
      </c>
      <c r="K37" s="39">
        <v>1.8066</v>
      </c>
      <c r="L37" s="30">
        <v>0.90329999999999999</v>
      </c>
      <c r="M37" s="41">
        <v>10.51</v>
      </c>
      <c r="N37" s="44">
        <v>11</v>
      </c>
      <c r="O37" s="41">
        <v>36.29</v>
      </c>
      <c r="P37" s="41">
        <v>74.23</v>
      </c>
      <c r="Q37" s="41">
        <v>2</v>
      </c>
      <c r="R37" s="45">
        <v>0</v>
      </c>
      <c r="S37" s="46">
        <f>MIN(R37,Q37)*_xlfn.XLOOKUP($A37,tbl_Catalog[sku_id],tbl_Catalog[master_carton_qty])</f>
        <v>0</v>
      </c>
      <c r="T37" s="41">
        <f>IF(_xlfn.XLOOKUP($A37,tbl_Catalog[sku_id],tbl_Catalog[master_carton_qty])&gt;0,S37/_xlfn.XLOOKUP($A37,tbl_Catalog[sku_id],tbl_Catalog[master_carton_qty]),0)</f>
        <v>0</v>
      </c>
      <c r="U37" s="41">
        <v>0</v>
      </c>
      <c r="V37" s="41">
        <v>0</v>
      </c>
      <c r="W37" s="41">
        <v>0</v>
      </c>
      <c r="X37" s="30">
        <f>T37*_xlfn.XLOOKUP($A37,tbl_Catalog[sku_id],tbl_Catalog[carton_volume_cbm])</f>
        <v>0</v>
      </c>
      <c r="Y37" s="31">
        <f t="shared" ref="Y37:Y68" si="7">IF(K37&gt;0,(E37+S37)/K37,0)</f>
        <v>40.407395106830513</v>
      </c>
      <c r="Z37" s="47">
        <f t="shared" ref="Z37:Z68" si="8">S37*I37</f>
        <v>0</v>
      </c>
      <c r="AA37" s="4" t="str">
        <f t="shared" ref="AA37:AA68" si="9">IF(AND(H37&lt;Fee_Threshold,I37&gt;0),"LOW-INVENTORY FEE ACTIVE",IF(H37&lt;Fee_Threshold,"EXEMPT / AUDIT","SHIELDED"))</f>
        <v>SHIELDED</v>
      </c>
      <c r="AB37" s="4" t="str">
        <f>IF(MOD(S37,_xlfn.XLOOKUP($A37,tbl_Catalog[sku_id],tbl_Catalog[master_carton_qty]))=0,"CARTON OK","CHECK")</f>
        <v>CARTON OK</v>
      </c>
    </row>
    <row r="38" spans="1:28" x14ac:dyDescent="0.3">
      <c r="A38" s="36" t="s">
        <v>283</v>
      </c>
      <c r="B38" s="16" t="s">
        <v>165</v>
      </c>
      <c r="C38" s="4" t="s">
        <v>188</v>
      </c>
      <c r="D38" s="41">
        <v>0</v>
      </c>
      <c r="E38" s="42">
        <f t="shared" si="5"/>
        <v>0</v>
      </c>
      <c r="F38" s="31">
        <v>0</v>
      </c>
      <c r="G38" s="31">
        <v>0</v>
      </c>
      <c r="H38" s="43">
        <f t="shared" si="6"/>
        <v>0</v>
      </c>
      <c r="I38" s="32">
        <v>0</v>
      </c>
      <c r="J38" s="4" t="b">
        <v>1</v>
      </c>
      <c r="K38" s="39">
        <v>0.70240000000000002</v>
      </c>
      <c r="L38" s="30">
        <v>0.45660000000000001</v>
      </c>
      <c r="M38" s="41">
        <v>3.48</v>
      </c>
      <c r="N38" s="44">
        <v>4</v>
      </c>
      <c r="O38" s="41">
        <v>13.83</v>
      </c>
      <c r="P38" s="41">
        <v>28.58</v>
      </c>
      <c r="Q38" s="41">
        <v>3</v>
      </c>
      <c r="R38" s="45">
        <v>0</v>
      </c>
      <c r="S38" s="46">
        <f>MIN(R38,Q38)*_xlfn.XLOOKUP($A38,tbl_Catalog[sku_id],tbl_Catalog[master_carton_qty])</f>
        <v>0</v>
      </c>
      <c r="T38" s="41">
        <f>IF(_xlfn.XLOOKUP($A38,tbl_Catalog[sku_id],tbl_Catalog[master_carton_qty])&gt;0,S38/_xlfn.XLOOKUP($A38,tbl_Catalog[sku_id],tbl_Catalog[master_carton_qty]),0)</f>
        <v>0</v>
      </c>
      <c r="U38" s="41">
        <v>0</v>
      </c>
      <c r="V38" s="41">
        <v>0</v>
      </c>
      <c r="W38" s="41">
        <v>0</v>
      </c>
      <c r="X38" s="30">
        <f>T38*_xlfn.XLOOKUP($A38,tbl_Catalog[sku_id],tbl_Catalog[carton_volume_cbm])</f>
        <v>0</v>
      </c>
      <c r="Y38" s="31">
        <f t="shared" si="7"/>
        <v>0</v>
      </c>
      <c r="Z38" s="47">
        <f t="shared" si="8"/>
        <v>0</v>
      </c>
      <c r="AA38" s="4" t="str">
        <f t="shared" si="9"/>
        <v>EXEMPT / AUDIT</v>
      </c>
      <c r="AB38" s="4" t="str">
        <f>IF(MOD(S38,_xlfn.XLOOKUP($A38,tbl_Catalog[sku_id],tbl_Catalog[master_carton_qty]))=0,"CARTON OK","CHECK")</f>
        <v>CARTON OK</v>
      </c>
    </row>
    <row r="39" spans="1:28" x14ac:dyDescent="0.3">
      <c r="A39" s="36" t="s">
        <v>286</v>
      </c>
      <c r="B39" s="16" t="s">
        <v>165</v>
      </c>
      <c r="C39" s="4" t="s">
        <v>188</v>
      </c>
      <c r="D39" s="41">
        <v>0</v>
      </c>
      <c r="E39" s="42">
        <f t="shared" si="5"/>
        <v>0</v>
      </c>
      <c r="F39" s="31">
        <v>0.33</v>
      </c>
      <c r="G39" s="31">
        <v>35.9</v>
      </c>
      <c r="H39" s="43">
        <f t="shared" si="6"/>
        <v>35.9</v>
      </c>
      <c r="I39" s="32">
        <v>0</v>
      </c>
      <c r="J39" s="4" t="b">
        <v>1</v>
      </c>
      <c r="K39" s="39">
        <v>1.1560999999999999</v>
      </c>
      <c r="L39" s="30">
        <v>1.2988999999999999</v>
      </c>
      <c r="M39" s="41">
        <v>7.65</v>
      </c>
      <c r="N39" s="44">
        <v>8</v>
      </c>
      <c r="O39" s="41">
        <v>24.19</v>
      </c>
      <c r="P39" s="41">
        <v>48.46</v>
      </c>
      <c r="Q39" s="41">
        <v>3</v>
      </c>
      <c r="R39" s="45">
        <v>1</v>
      </c>
      <c r="S39" s="46">
        <f>MIN(R39,Q39)*_xlfn.XLOOKUP($A39,tbl_Catalog[sku_id],tbl_Catalog[master_carton_qty])</f>
        <v>100</v>
      </c>
      <c r="T39" s="41">
        <f>IF(_xlfn.XLOOKUP($A39,tbl_Catalog[sku_id],tbl_Catalog[master_carton_qty])&gt;0,S39/_xlfn.XLOOKUP($A39,tbl_Catalog[sku_id],tbl_Catalog[master_carton_qty]),0)</f>
        <v>1</v>
      </c>
      <c r="U39" s="41">
        <v>0</v>
      </c>
      <c r="V39" s="41">
        <v>0</v>
      </c>
      <c r="W39" s="41">
        <v>0</v>
      </c>
      <c r="X39" s="30">
        <f>T39*_xlfn.XLOOKUP($A39,tbl_Catalog[sku_id],tbl_Catalog[carton_volume_cbm])</f>
        <v>0.06</v>
      </c>
      <c r="Y39" s="31">
        <f t="shared" si="7"/>
        <v>86.497707810743023</v>
      </c>
      <c r="Z39" s="47">
        <f t="shared" si="8"/>
        <v>0</v>
      </c>
      <c r="AA39" s="4" t="str">
        <f t="shared" si="9"/>
        <v>SHIELDED</v>
      </c>
      <c r="AB39" s="4" t="str">
        <f>IF(MOD(S39,_xlfn.XLOOKUP($A39,tbl_Catalog[sku_id],tbl_Catalog[master_carton_qty]))=0,"CARTON OK","CHECK")</f>
        <v>CARTON OK</v>
      </c>
    </row>
    <row r="40" spans="1:28" x14ac:dyDescent="0.3">
      <c r="A40" s="36" t="s">
        <v>289</v>
      </c>
      <c r="B40" s="16" t="s">
        <v>165</v>
      </c>
      <c r="C40" s="4" t="s">
        <v>188</v>
      </c>
      <c r="D40" s="41">
        <v>0</v>
      </c>
      <c r="E40" s="42">
        <f t="shared" si="5"/>
        <v>0</v>
      </c>
      <c r="F40" s="31">
        <v>0</v>
      </c>
      <c r="G40" s="31">
        <v>0</v>
      </c>
      <c r="H40" s="43">
        <f t="shared" si="6"/>
        <v>0</v>
      </c>
      <c r="I40" s="32">
        <v>0</v>
      </c>
      <c r="J40" s="4" t="b">
        <v>1</v>
      </c>
      <c r="K40" s="39">
        <v>0.49230000000000002</v>
      </c>
      <c r="L40" s="30">
        <v>0.32</v>
      </c>
      <c r="M40" s="41">
        <v>2.44</v>
      </c>
      <c r="N40" s="44">
        <v>3</v>
      </c>
      <c r="O40" s="41">
        <v>9.89</v>
      </c>
      <c r="P40" s="41">
        <v>20.23</v>
      </c>
      <c r="Q40" s="41">
        <v>3</v>
      </c>
      <c r="R40" s="45">
        <v>0</v>
      </c>
      <c r="S40" s="46">
        <f>MIN(R40,Q40)*_xlfn.XLOOKUP($A40,tbl_Catalog[sku_id],tbl_Catalog[master_carton_qty])</f>
        <v>0</v>
      </c>
      <c r="T40" s="41">
        <f>IF(_xlfn.XLOOKUP($A40,tbl_Catalog[sku_id],tbl_Catalog[master_carton_qty])&gt;0,S40/_xlfn.XLOOKUP($A40,tbl_Catalog[sku_id],tbl_Catalog[master_carton_qty]),0)</f>
        <v>0</v>
      </c>
      <c r="U40" s="41">
        <v>0</v>
      </c>
      <c r="V40" s="41">
        <v>0</v>
      </c>
      <c r="W40" s="41">
        <v>0</v>
      </c>
      <c r="X40" s="30">
        <f>T40*_xlfn.XLOOKUP($A40,tbl_Catalog[sku_id],tbl_Catalog[carton_volume_cbm])</f>
        <v>0</v>
      </c>
      <c r="Y40" s="31">
        <f t="shared" si="7"/>
        <v>0</v>
      </c>
      <c r="Z40" s="47">
        <f t="shared" si="8"/>
        <v>0</v>
      </c>
      <c r="AA40" s="4" t="str">
        <f t="shared" si="9"/>
        <v>EXEMPT / AUDIT</v>
      </c>
      <c r="AB40" s="4" t="str">
        <f>IF(MOD(S40,_xlfn.XLOOKUP($A40,tbl_Catalog[sku_id],tbl_Catalog[master_carton_qty]))=0,"CARTON OK","CHECK")</f>
        <v>CARTON OK</v>
      </c>
    </row>
    <row r="41" spans="1:28" x14ac:dyDescent="0.3">
      <c r="A41" s="36" t="s">
        <v>292</v>
      </c>
      <c r="B41" s="16" t="s">
        <v>293</v>
      </c>
      <c r="C41" s="4" t="s">
        <v>172</v>
      </c>
      <c r="D41" s="41">
        <v>280</v>
      </c>
      <c r="E41" s="42">
        <f t="shared" si="5"/>
        <v>280</v>
      </c>
      <c r="F41" s="31">
        <v>39.950000000000003</v>
      </c>
      <c r="G41" s="31">
        <v>32.53</v>
      </c>
      <c r="H41" s="43">
        <f t="shared" si="6"/>
        <v>39.950000000000003</v>
      </c>
      <c r="I41" s="32">
        <v>0</v>
      </c>
      <c r="J41" s="4" t="b">
        <v>0</v>
      </c>
      <c r="K41" s="39">
        <v>11.1</v>
      </c>
      <c r="L41" s="30">
        <v>4.8448000000000002</v>
      </c>
      <c r="M41" s="41">
        <v>71.319999999999993</v>
      </c>
      <c r="N41" s="44">
        <v>356</v>
      </c>
      <c r="O41" s="41">
        <v>511.4</v>
      </c>
      <c r="P41" s="41">
        <v>744.5</v>
      </c>
      <c r="Q41" s="41">
        <v>0</v>
      </c>
      <c r="R41" s="45">
        <v>5</v>
      </c>
      <c r="S41" s="46">
        <f>MIN(R41,Q41)*_xlfn.XLOOKUP($A41,tbl_Catalog[sku_id],tbl_Catalog[master_carton_qty])</f>
        <v>0</v>
      </c>
      <c r="T41" s="41">
        <f>IF(_xlfn.XLOOKUP($A41,tbl_Catalog[sku_id],tbl_Catalog[master_carton_qty])&gt;0,S41/_xlfn.XLOOKUP($A41,tbl_Catalog[sku_id],tbl_Catalog[master_carton_qty]),0)</f>
        <v>0</v>
      </c>
      <c r="U41" s="41">
        <v>0</v>
      </c>
      <c r="V41" s="41">
        <v>0</v>
      </c>
      <c r="W41" s="41">
        <v>0</v>
      </c>
      <c r="X41" s="30">
        <f>T41*_xlfn.XLOOKUP($A41,tbl_Catalog[sku_id],tbl_Catalog[carton_volume_cbm])</f>
        <v>0</v>
      </c>
      <c r="Y41" s="31">
        <f t="shared" si="7"/>
        <v>25.225225225225227</v>
      </c>
      <c r="Z41" s="47">
        <f t="shared" si="8"/>
        <v>0</v>
      </c>
      <c r="AA41" s="4" t="str">
        <f t="shared" si="9"/>
        <v>SHIELDED</v>
      </c>
      <c r="AB41" s="4" t="str">
        <f>IF(MOD(S41,_xlfn.XLOOKUP($A41,tbl_Catalog[sku_id],tbl_Catalog[master_carton_qty]))=0,"CARTON OK","CHECK")</f>
        <v>CARTON OK</v>
      </c>
    </row>
    <row r="42" spans="1:28" x14ac:dyDescent="0.3">
      <c r="A42" s="36" t="s">
        <v>298</v>
      </c>
      <c r="B42" s="16" t="s">
        <v>293</v>
      </c>
      <c r="C42" s="4" t="s">
        <v>188</v>
      </c>
      <c r="D42" s="41">
        <v>0</v>
      </c>
      <c r="E42" s="42">
        <f t="shared" si="5"/>
        <v>0</v>
      </c>
      <c r="F42" s="31">
        <v>0</v>
      </c>
      <c r="G42" s="31">
        <v>0</v>
      </c>
      <c r="H42" s="43">
        <f t="shared" si="6"/>
        <v>0</v>
      </c>
      <c r="I42" s="32">
        <v>0</v>
      </c>
      <c r="J42" s="4" t="b">
        <v>1</v>
      </c>
      <c r="K42" s="39">
        <v>0.81140000000000001</v>
      </c>
      <c r="L42" s="30">
        <v>0.52739999999999998</v>
      </c>
      <c r="M42" s="41">
        <v>4.0199999999999996</v>
      </c>
      <c r="N42" s="44">
        <v>5</v>
      </c>
      <c r="O42" s="41">
        <v>16.36</v>
      </c>
      <c r="P42" s="41">
        <v>33.4</v>
      </c>
      <c r="Q42" s="41">
        <v>2</v>
      </c>
      <c r="R42" s="45">
        <v>0</v>
      </c>
      <c r="S42" s="46">
        <f>MIN(R42,Q42)*_xlfn.XLOOKUP($A42,tbl_Catalog[sku_id],tbl_Catalog[master_carton_qty])</f>
        <v>0</v>
      </c>
      <c r="T42" s="41">
        <f>IF(_xlfn.XLOOKUP($A42,tbl_Catalog[sku_id],tbl_Catalog[master_carton_qty])&gt;0,S42/_xlfn.XLOOKUP($A42,tbl_Catalog[sku_id],tbl_Catalog[master_carton_qty]),0)</f>
        <v>0</v>
      </c>
      <c r="U42" s="41">
        <v>0</v>
      </c>
      <c r="V42" s="41">
        <v>0</v>
      </c>
      <c r="W42" s="41">
        <v>0</v>
      </c>
      <c r="X42" s="30">
        <f>T42*_xlfn.XLOOKUP($A42,tbl_Catalog[sku_id],tbl_Catalog[carton_volume_cbm])</f>
        <v>0</v>
      </c>
      <c r="Y42" s="31">
        <f t="shared" si="7"/>
        <v>0</v>
      </c>
      <c r="Z42" s="47">
        <f t="shared" si="8"/>
        <v>0</v>
      </c>
      <c r="AA42" s="4" t="str">
        <f t="shared" si="9"/>
        <v>EXEMPT / AUDIT</v>
      </c>
      <c r="AB42" s="4" t="str">
        <f>IF(MOD(S42,_xlfn.XLOOKUP($A42,tbl_Catalog[sku_id],tbl_Catalog[master_carton_qty]))=0,"CARTON OK","CHECK")</f>
        <v>CARTON OK</v>
      </c>
    </row>
    <row r="43" spans="1:28" x14ac:dyDescent="0.3">
      <c r="A43" s="36" t="s">
        <v>301</v>
      </c>
      <c r="B43" s="16" t="s">
        <v>293</v>
      </c>
      <c r="C43" s="4" t="s">
        <v>179</v>
      </c>
      <c r="D43" s="41">
        <v>0</v>
      </c>
      <c r="E43" s="42">
        <f t="shared" si="5"/>
        <v>100</v>
      </c>
      <c r="F43" s="31">
        <v>14.96</v>
      </c>
      <c r="G43" s="31">
        <v>34.49</v>
      </c>
      <c r="H43" s="43">
        <f t="shared" si="6"/>
        <v>34.49</v>
      </c>
      <c r="I43" s="32">
        <v>0</v>
      </c>
      <c r="J43" s="4" t="b">
        <v>1</v>
      </c>
      <c r="K43" s="39">
        <v>1.7943</v>
      </c>
      <c r="L43" s="30">
        <v>1.2201</v>
      </c>
      <c r="M43" s="41">
        <v>11.61</v>
      </c>
      <c r="N43" s="44">
        <v>12</v>
      </c>
      <c r="O43" s="41">
        <v>37.119999999999997</v>
      </c>
      <c r="P43" s="41">
        <v>74.8</v>
      </c>
      <c r="Q43" s="41">
        <v>2</v>
      </c>
      <c r="R43" s="45">
        <v>0</v>
      </c>
      <c r="S43" s="46">
        <f>MIN(R43,Q43)*_xlfn.XLOOKUP($A43,tbl_Catalog[sku_id],tbl_Catalog[master_carton_qty])</f>
        <v>0</v>
      </c>
      <c r="T43" s="41">
        <f>IF(_xlfn.XLOOKUP($A43,tbl_Catalog[sku_id],tbl_Catalog[master_carton_qty])&gt;0,S43/_xlfn.XLOOKUP($A43,tbl_Catalog[sku_id],tbl_Catalog[master_carton_qty]),0)</f>
        <v>0</v>
      </c>
      <c r="U43" s="41">
        <v>0</v>
      </c>
      <c r="V43" s="41">
        <v>100</v>
      </c>
      <c r="W43" s="41">
        <v>0</v>
      </c>
      <c r="X43" s="30">
        <f>T43*_xlfn.XLOOKUP($A43,tbl_Catalog[sku_id],tbl_Catalog[carton_volume_cbm])</f>
        <v>0</v>
      </c>
      <c r="Y43" s="31">
        <f t="shared" si="7"/>
        <v>55.732040349997213</v>
      </c>
      <c r="Z43" s="47">
        <f t="shared" si="8"/>
        <v>0</v>
      </c>
      <c r="AA43" s="4" t="str">
        <f t="shared" si="9"/>
        <v>SHIELDED</v>
      </c>
      <c r="AB43" s="4" t="str">
        <f>IF(MOD(S43,_xlfn.XLOOKUP($A43,tbl_Catalog[sku_id],tbl_Catalog[master_carton_qty]))=0,"CARTON OK","CHECK")</f>
        <v>CARTON OK</v>
      </c>
    </row>
    <row r="44" spans="1:28" x14ac:dyDescent="0.3">
      <c r="A44" s="36" t="s">
        <v>304</v>
      </c>
      <c r="B44" s="16" t="s">
        <v>293</v>
      </c>
      <c r="C44" s="4" t="s">
        <v>188</v>
      </c>
      <c r="D44" s="41">
        <v>0</v>
      </c>
      <c r="E44" s="42">
        <f t="shared" si="5"/>
        <v>0</v>
      </c>
      <c r="F44" s="31">
        <v>0</v>
      </c>
      <c r="G44" s="31">
        <v>0</v>
      </c>
      <c r="H44" s="43">
        <f t="shared" si="6"/>
        <v>0</v>
      </c>
      <c r="I44" s="32">
        <v>0</v>
      </c>
      <c r="J44" s="4" t="b">
        <v>1</v>
      </c>
      <c r="K44" s="39">
        <v>0.59519999999999995</v>
      </c>
      <c r="L44" s="30">
        <v>0.38690000000000002</v>
      </c>
      <c r="M44" s="41">
        <v>2.95</v>
      </c>
      <c r="N44" s="44">
        <v>3</v>
      </c>
      <c r="O44" s="41">
        <v>11.33</v>
      </c>
      <c r="P44" s="41">
        <v>23.83</v>
      </c>
      <c r="Q44" s="41">
        <v>2</v>
      </c>
      <c r="R44" s="45">
        <v>0</v>
      </c>
      <c r="S44" s="46">
        <f>MIN(R44,Q44)*_xlfn.XLOOKUP($A44,tbl_Catalog[sku_id],tbl_Catalog[master_carton_qty])</f>
        <v>0</v>
      </c>
      <c r="T44" s="41">
        <f>IF(_xlfn.XLOOKUP($A44,tbl_Catalog[sku_id],tbl_Catalog[master_carton_qty])&gt;0,S44/_xlfn.XLOOKUP($A44,tbl_Catalog[sku_id],tbl_Catalog[master_carton_qty]),0)</f>
        <v>0</v>
      </c>
      <c r="U44" s="41">
        <v>0</v>
      </c>
      <c r="V44" s="41">
        <v>0</v>
      </c>
      <c r="W44" s="41">
        <v>0</v>
      </c>
      <c r="X44" s="30">
        <f>T44*_xlfn.XLOOKUP($A44,tbl_Catalog[sku_id],tbl_Catalog[carton_volume_cbm])</f>
        <v>0</v>
      </c>
      <c r="Y44" s="31">
        <f t="shared" si="7"/>
        <v>0</v>
      </c>
      <c r="Z44" s="47">
        <f t="shared" si="8"/>
        <v>0</v>
      </c>
      <c r="AA44" s="4" t="str">
        <f t="shared" si="9"/>
        <v>EXEMPT / AUDIT</v>
      </c>
      <c r="AB44" s="4" t="str">
        <f>IF(MOD(S44,_xlfn.XLOOKUP($A44,tbl_Catalog[sku_id],tbl_Catalog[master_carton_qty]))=0,"CARTON OK","CHECK")</f>
        <v>CARTON OK</v>
      </c>
    </row>
    <row r="45" spans="1:28" x14ac:dyDescent="0.3">
      <c r="A45" s="36" t="s">
        <v>307</v>
      </c>
      <c r="B45" s="16" t="s">
        <v>293</v>
      </c>
      <c r="C45" s="4" t="s">
        <v>188</v>
      </c>
      <c r="D45" s="41">
        <v>0</v>
      </c>
      <c r="E45" s="42">
        <f t="shared" si="5"/>
        <v>0</v>
      </c>
      <c r="F45" s="31">
        <v>0</v>
      </c>
      <c r="G45" s="31">
        <v>0</v>
      </c>
      <c r="H45" s="43">
        <f t="shared" si="6"/>
        <v>0</v>
      </c>
      <c r="I45" s="32">
        <v>0</v>
      </c>
      <c r="J45" s="4" t="b">
        <v>1</v>
      </c>
      <c r="K45" s="39">
        <v>0.75049999999999994</v>
      </c>
      <c r="L45" s="30">
        <v>0.48780000000000001</v>
      </c>
      <c r="M45" s="41">
        <v>3.72</v>
      </c>
      <c r="N45" s="44">
        <v>4</v>
      </c>
      <c r="O45" s="41">
        <v>14.51</v>
      </c>
      <c r="P45" s="41">
        <v>30.27</v>
      </c>
      <c r="Q45" s="41">
        <v>2</v>
      </c>
      <c r="R45" s="45">
        <v>0</v>
      </c>
      <c r="S45" s="46">
        <f>MIN(R45,Q45)*_xlfn.XLOOKUP($A45,tbl_Catalog[sku_id],tbl_Catalog[master_carton_qty])</f>
        <v>0</v>
      </c>
      <c r="T45" s="41">
        <f>IF(_xlfn.XLOOKUP($A45,tbl_Catalog[sku_id],tbl_Catalog[master_carton_qty])&gt;0,S45/_xlfn.XLOOKUP($A45,tbl_Catalog[sku_id],tbl_Catalog[master_carton_qty]),0)</f>
        <v>0</v>
      </c>
      <c r="U45" s="41">
        <v>0</v>
      </c>
      <c r="V45" s="41">
        <v>0</v>
      </c>
      <c r="W45" s="41">
        <v>0</v>
      </c>
      <c r="X45" s="30">
        <f>T45*_xlfn.XLOOKUP($A45,tbl_Catalog[sku_id],tbl_Catalog[carton_volume_cbm])</f>
        <v>0</v>
      </c>
      <c r="Y45" s="31">
        <f t="shared" si="7"/>
        <v>0</v>
      </c>
      <c r="Z45" s="47">
        <f t="shared" si="8"/>
        <v>0</v>
      </c>
      <c r="AA45" s="4" t="str">
        <f t="shared" si="9"/>
        <v>EXEMPT / AUDIT</v>
      </c>
      <c r="AB45" s="4" t="str">
        <f>IF(MOD(S45,_xlfn.XLOOKUP($A45,tbl_Catalog[sku_id],tbl_Catalog[master_carton_qty]))=0,"CARTON OK","CHECK")</f>
        <v>CARTON OK</v>
      </c>
    </row>
    <row r="46" spans="1:28" x14ac:dyDescent="0.3">
      <c r="A46" s="36" t="s">
        <v>310</v>
      </c>
      <c r="B46" s="16" t="s">
        <v>293</v>
      </c>
      <c r="C46" s="4" t="s">
        <v>188</v>
      </c>
      <c r="D46" s="41">
        <v>0</v>
      </c>
      <c r="E46" s="42">
        <f t="shared" si="5"/>
        <v>0</v>
      </c>
      <c r="F46" s="31">
        <v>0</v>
      </c>
      <c r="G46" s="31">
        <v>0</v>
      </c>
      <c r="H46" s="43">
        <f t="shared" si="6"/>
        <v>0</v>
      </c>
      <c r="I46" s="32">
        <v>0</v>
      </c>
      <c r="J46" s="4" t="b">
        <v>1</v>
      </c>
      <c r="K46" s="39">
        <v>0.4904</v>
      </c>
      <c r="L46" s="30">
        <v>0.31869999999999998</v>
      </c>
      <c r="M46" s="41">
        <v>2.4300000000000002</v>
      </c>
      <c r="N46" s="44">
        <v>3</v>
      </c>
      <c r="O46" s="41">
        <v>9.8699999999999992</v>
      </c>
      <c r="P46" s="41">
        <v>20.16</v>
      </c>
      <c r="Q46" s="41">
        <v>3</v>
      </c>
      <c r="R46" s="45">
        <v>0</v>
      </c>
      <c r="S46" s="46">
        <f>MIN(R46,Q46)*_xlfn.XLOOKUP($A46,tbl_Catalog[sku_id],tbl_Catalog[master_carton_qty])</f>
        <v>0</v>
      </c>
      <c r="T46" s="41">
        <f>IF(_xlfn.XLOOKUP($A46,tbl_Catalog[sku_id],tbl_Catalog[master_carton_qty])&gt;0,S46/_xlfn.XLOOKUP($A46,tbl_Catalog[sku_id],tbl_Catalog[master_carton_qty]),0)</f>
        <v>0</v>
      </c>
      <c r="U46" s="41">
        <v>0</v>
      </c>
      <c r="V46" s="41">
        <v>0</v>
      </c>
      <c r="W46" s="41">
        <v>0</v>
      </c>
      <c r="X46" s="30">
        <f>T46*_xlfn.XLOOKUP($A46,tbl_Catalog[sku_id],tbl_Catalog[carton_volume_cbm])</f>
        <v>0</v>
      </c>
      <c r="Y46" s="31">
        <f t="shared" si="7"/>
        <v>0</v>
      </c>
      <c r="Z46" s="47">
        <f t="shared" si="8"/>
        <v>0</v>
      </c>
      <c r="AA46" s="4" t="str">
        <f t="shared" si="9"/>
        <v>EXEMPT / AUDIT</v>
      </c>
      <c r="AB46" s="4" t="str">
        <f>IF(MOD(S46,_xlfn.XLOOKUP($A46,tbl_Catalog[sku_id],tbl_Catalog[master_carton_qty]))=0,"CARTON OK","CHECK")</f>
        <v>CARTON OK</v>
      </c>
    </row>
    <row r="47" spans="1:28" x14ac:dyDescent="0.3">
      <c r="A47" s="36" t="s">
        <v>313</v>
      </c>
      <c r="B47" s="16" t="s">
        <v>293</v>
      </c>
      <c r="C47" s="4" t="s">
        <v>188</v>
      </c>
      <c r="D47" s="41">
        <v>0</v>
      </c>
      <c r="E47" s="42">
        <f t="shared" si="5"/>
        <v>0</v>
      </c>
      <c r="F47" s="31">
        <v>0</v>
      </c>
      <c r="G47" s="31">
        <v>0</v>
      </c>
      <c r="H47" s="43">
        <f t="shared" si="6"/>
        <v>0</v>
      </c>
      <c r="I47" s="32">
        <v>0</v>
      </c>
      <c r="J47" s="4" t="b">
        <v>1</v>
      </c>
      <c r="K47" s="39">
        <v>0.63839999999999997</v>
      </c>
      <c r="L47" s="30">
        <v>0.41499999999999998</v>
      </c>
      <c r="M47" s="41">
        <v>3.16</v>
      </c>
      <c r="N47" s="44">
        <v>4</v>
      </c>
      <c r="O47" s="41">
        <v>12.94</v>
      </c>
      <c r="P47" s="41">
        <v>26.34</v>
      </c>
      <c r="Q47" s="41">
        <v>2</v>
      </c>
      <c r="R47" s="45">
        <v>0</v>
      </c>
      <c r="S47" s="46">
        <f>MIN(R47,Q47)*_xlfn.XLOOKUP($A47,tbl_Catalog[sku_id],tbl_Catalog[master_carton_qty])</f>
        <v>0</v>
      </c>
      <c r="T47" s="41">
        <f>IF(_xlfn.XLOOKUP($A47,tbl_Catalog[sku_id],tbl_Catalog[master_carton_qty])&gt;0,S47/_xlfn.XLOOKUP($A47,tbl_Catalog[sku_id],tbl_Catalog[master_carton_qty]),0)</f>
        <v>0</v>
      </c>
      <c r="U47" s="41">
        <v>0</v>
      </c>
      <c r="V47" s="41">
        <v>0</v>
      </c>
      <c r="W47" s="41">
        <v>0</v>
      </c>
      <c r="X47" s="30">
        <f>T47*_xlfn.XLOOKUP($A47,tbl_Catalog[sku_id],tbl_Catalog[carton_volume_cbm])</f>
        <v>0</v>
      </c>
      <c r="Y47" s="31">
        <f t="shared" si="7"/>
        <v>0</v>
      </c>
      <c r="Z47" s="47">
        <f t="shared" si="8"/>
        <v>0</v>
      </c>
      <c r="AA47" s="4" t="str">
        <f t="shared" si="9"/>
        <v>EXEMPT / AUDIT</v>
      </c>
      <c r="AB47" s="4" t="str">
        <f>IF(MOD(S47,_xlfn.XLOOKUP($A47,tbl_Catalog[sku_id],tbl_Catalog[master_carton_qty]))=0,"CARTON OK","CHECK")</f>
        <v>CARTON OK</v>
      </c>
    </row>
    <row r="48" spans="1:28" x14ac:dyDescent="0.3">
      <c r="A48" s="36" t="s">
        <v>316</v>
      </c>
      <c r="B48" s="16" t="s">
        <v>293</v>
      </c>
      <c r="C48" s="4" t="s">
        <v>188</v>
      </c>
      <c r="D48" s="41">
        <v>0</v>
      </c>
      <c r="E48" s="42">
        <f t="shared" si="5"/>
        <v>0</v>
      </c>
      <c r="F48" s="31">
        <v>0</v>
      </c>
      <c r="G48" s="31">
        <v>0</v>
      </c>
      <c r="H48" s="43">
        <f t="shared" si="6"/>
        <v>0</v>
      </c>
      <c r="I48" s="32">
        <v>0</v>
      </c>
      <c r="J48" s="4" t="b">
        <v>1</v>
      </c>
      <c r="K48" s="39">
        <v>0.26129999999999998</v>
      </c>
      <c r="L48" s="30">
        <v>0.1699</v>
      </c>
      <c r="M48" s="41">
        <v>1.29</v>
      </c>
      <c r="N48" s="44">
        <v>2</v>
      </c>
      <c r="O48" s="41">
        <v>5.66</v>
      </c>
      <c r="P48" s="41">
        <v>11.15</v>
      </c>
      <c r="Q48" s="41">
        <v>2</v>
      </c>
      <c r="R48" s="45">
        <v>0</v>
      </c>
      <c r="S48" s="46">
        <f>MIN(R48,Q48)*_xlfn.XLOOKUP($A48,tbl_Catalog[sku_id],tbl_Catalog[master_carton_qty])</f>
        <v>0</v>
      </c>
      <c r="T48" s="41">
        <f>IF(_xlfn.XLOOKUP($A48,tbl_Catalog[sku_id],tbl_Catalog[master_carton_qty])&gt;0,S48/_xlfn.XLOOKUP($A48,tbl_Catalog[sku_id],tbl_Catalog[master_carton_qty]),0)</f>
        <v>0</v>
      </c>
      <c r="U48" s="41">
        <v>0</v>
      </c>
      <c r="V48" s="41">
        <v>0</v>
      </c>
      <c r="W48" s="41">
        <v>0</v>
      </c>
      <c r="X48" s="30">
        <f>T48*_xlfn.XLOOKUP($A48,tbl_Catalog[sku_id],tbl_Catalog[carton_volume_cbm])</f>
        <v>0</v>
      </c>
      <c r="Y48" s="31">
        <f t="shared" si="7"/>
        <v>0</v>
      </c>
      <c r="Z48" s="47">
        <f t="shared" si="8"/>
        <v>0</v>
      </c>
      <c r="AA48" s="4" t="str">
        <f t="shared" si="9"/>
        <v>EXEMPT / AUDIT</v>
      </c>
      <c r="AB48" s="4" t="str">
        <f>IF(MOD(S48,_xlfn.XLOOKUP($A48,tbl_Catalog[sku_id],tbl_Catalog[master_carton_qty]))=0,"CARTON OK","CHECK")</f>
        <v>CARTON OK</v>
      </c>
    </row>
    <row r="49" spans="1:28" x14ac:dyDescent="0.3">
      <c r="A49" s="36" t="s">
        <v>319</v>
      </c>
      <c r="B49" s="16" t="s">
        <v>293</v>
      </c>
      <c r="C49" s="4" t="s">
        <v>188</v>
      </c>
      <c r="D49" s="41">
        <v>0</v>
      </c>
      <c r="E49" s="42">
        <f t="shared" si="5"/>
        <v>0</v>
      </c>
      <c r="F49" s="31">
        <v>0</v>
      </c>
      <c r="G49" s="31">
        <v>0</v>
      </c>
      <c r="H49" s="43">
        <f t="shared" si="6"/>
        <v>0</v>
      </c>
      <c r="I49" s="32">
        <v>0</v>
      </c>
      <c r="J49" s="4" t="b">
        <v>1</v>
      </c>
      <c r="K49" s="39">
        <v>0.48099999999999998</v>
      </c>
      <c r="L49" s="30">
        <v>0.31269999999999998</v>
      </c>
      <c r="M49" s="41">
        <v>2.38</v>
      </c>
      <c r="N49" s="44">
        <v>3</v>
      </c>
      <c r="O49" s="41">
        <v>9.73</v>
      </c>
      <c r="P49" s="41">
        <v>19.84</v>
      </c>
      <c r="Q49" s="41">
        <v>2</v>
      </c>
      <c r="R49" s="45">
        <v>0</v>
      </c>
      <c r="S49" s="46">
        <f>MIN(R49,Q49)*_xlfn.XLOOKUP($A49,tbl_Catalog[sku_id],tbl_Catalog[master_carton_qty])</f>
        <v>0</v>
      </c>
      <c r="T49" s="41">
        <f>IF(_xlfn.XLOOKUP($A49,tbl_Catalog[sku_id],tbl_Catalog[master_carton_qty])&gt;0,S49/_xlfn.XLOOKUP($A49,tbl_Catalog[sku_id],tbl_Catalog[master_carton_qty]),0)</f>
        <v>0</v>
      </c>
      <c r="U49" s="41">
        <v>0</v>
      </c>
      <c r="V49" s="41">
        <v>0</v>
      </c>
      <c r="W49" s="41">
        <v>0</v>
      </c>
      <c r="X49" s="30">
        <f>T49*_xlfn.XLOOKUP($A49,tbl_Catalog[sku_id],tbl_Catalog[carton_volume_cbm])</f>
        <v>0</v>
      </c>
      <c r="Y49" s="31">
        <f t="shared" si="7"/>
        <v>0</v>
      </c>
      <c r="Z49" s="47">
        <f t="shared" si="8"/>
        <v>0</v>
      </c>
      <c r="AA49" s="4" t="str">
        <f t="shared" si="9"/>
        <v>EXEMPT / AUDIT</v>
      </c>
      <c r="AB49" s="4" t="str">
        <f>IF(MOD(S49,_xlfn.XLOOKUP($A49,tbl_Catalog[sku_id],tbl_Catalog[master_carton_qty]))=0,"CARTON OK","CHECK")</f>
        <v>CARTON OK</v>
      </c>
    </row>
    <row r="50" spans="1:28" x14ac:dyDescent="0.3">
      <c r="A50" s="36" t="s">
        <v>322</v>
      </c>
      <c r="B50" s="16" t="s">
        <v>293</v>
      </c>
      <c r="C50" s="4" t="s">
        <v>188</v>
      </c>
      <c r="D50" s="41">
        <v>0</v>
      </c>
      <c r="E50" s="42">
        <f t="shared" si="5"/>
        <v>0</v>
      </c>
      <c r="F50" s="31">
        <v>0</v>
      </c>
      <c r="G50" s="31">
        <v>0</v>
      </c>
      <c r="H50" s="43">
        <f t="shared" si="6"/>
        <v>0</v>
      </c>
      <c r="I50" s="32">
        <v>0</v>
      </c>
      <c r="J50" s="4" t="b">
        <v>1</v>
      </c>
      <c r="K50" s="39">
        <v>0.19689999999999999</v>
      </c>
      <c r="L50" s="30">
        <v>0.128</v>
      </c>
      <c r="M50" s="41">
        <v>0.97</v>
      </c>
      <c r="N50" s="44">
        <v>1</v>
      </c>
      <c r="O50" s="41">
        <v>3.76</v>
      </c>
      <c r="P50" s="41">
        <v>7.89</v>
      </c>
      <c r="Q50" s="41">
        <v>2</v>
      </c>
      <c r="R50" s="45">
        <v>0</v>
      </c>
      <c r="S50" s="46">
        <f>MIN(R50,Q50)*_xlfn.XLOOKUP($A50,tbl_Catalog[sku_id],tbl_Catalog[master_carton_qty])</f>
        <v>0</v>
      </c>
      <c r="T50" s="41">
        <f>IF(_xlfn.XLOOKUP($A50,tbl_Catalog[sku_id],tbl_Catalog[master_carton_qty])&gt;0,S50/_xlfn.XLOOKUP($A50,tbl_Catalog[sku_id],tbl_Catalog[master_carton_qty]),0)</f>
        <v>0</v>
      </c>
      <c r="U50" s="41">
        <v>0</v>
      </c>
      <c r="V50" s="41">
        <v>0</v>
      </c>
      <c r="W50" s="41">
        <v>0</v>
      </c>
      <c r="X50" s="30">
        <f>T50*_xlfn.XLOOKUP($A50,tbl_Catalog[sku_id],tbl_Catalog[carton_volume_cbm])</f>
        <v>0</v>
      </c>
      <c r="Y50" s="31">
        <f t="shared" si="7"/>
        <v>0</v>
      </c>
      <c r="Z50" s="47">
        <f t="shared" si="8"/>
        <v>0</v>
      </c>
      <c r="AA50" s="4" t="str">
        <f t="shared" si="9"/>
        <v>EXEMPT / AUDIT</v>
      </c>
      <c r="AB50" s="4" t="str">
        <f>IF(MOD(S50,_xlfn.XLOOKUP($A50,tbl_Catalog[sku_id],tbl_Catalog[master_carton_qty]))=0,"CARTON OK","CHECK")</f>
        <v>CARTON OK</v>
      </c>
    </row>
    <row r="51" spans="1:28" x14ac:dyDescent="0.3">
      <c r="A51" s="36" t="s">
        <v>325</v>
      </c>
      <c r="B51" s="16" t="s">
        <v>293</v>
      </c>
      <c r="C51" s="4" t="s">
        <v>188</v>
      </c>
      <c r="D51" s="41">
        <v>134</v>
      </c>
      <c r="E51" s="42">
        <f t="shared" si="5"/>
        <v>134</v>
      </c>
      <c r="F51" s="31">
        <v>820.4</v>
      </c>
      <c r="G51" s="31">
        <v>683.16</v>
      </c>
      <c r="H51" s="43">
        <f t="shared" si="6"/>
        <v>820.4</v>
      </c>
      <c r="I51" s="32">
        <v>0</v>
      </c>
      <c r="J51" s="4" t="b">
        <v>1</v>
      </c>
      <c r="K51" s="39">
        <v>0.16669999999999999</v>
      </c>
      <c r="L51" s="30">
        <v>0.22500000000000001</v>
      </c>
      <c r="M51" s="41">
        <v>1.26</v>
      </c>
      <c r="N51" s="44">
        <v>2</v>
      </c>
      <c r="O51" s="41">
        <v>4.33</v>
      </c>
      <c r="P51" s="41">
        <v>7.83</v>
      </c>
      <c r="Q51" s="41">
        <v>1</v>
      </c>
      <c r="R51" s="45">
        <v>0</v>
      </c>
      <c r="S51" s="46">
        <f>MIN(R51,Q51)*_xlfn.XLOOKUP($A51,tbl_Catalog[sku_id],tbl_Catalog[master_carton_qty])</f>
        <v>0</v>
      </c>
      <c r="T51" s="41">
        <f>IF(_xlfn.XLOOKUP($A51,tbl_Catalog[sku_id],tbl_Catalog[master_carton_qty])&gt;0,S51/_xlfn.XLOOKUP($A51,tbl_Catalog[sku_id],tbl_Catalog[master_carton_qty]),0)</f>
        <v>0</v>
      </c>
      <c r="U51" s="41">
        <v>0</v>
      </c>
      <c r="V51" s="41">
        <v>0</v>
      </c>
      <c r="W51" s="41">
        <v>0</v>
      </c>
      <c r="X51" s="30">
        <f>T51*_xlfn.XLOOKUP($A51,tbl_Catalog[sku_id],tbl_Catalog[carton_volume_cbm])</f>
        <v>0</v>
      </c>
      <c r="Y51" s="31">
        <f t="shared" si="7"/>
        <v>803.83923215356936</v>
      </c>
      <c r="Z51" s="47">
        <f t="shared" si="8"/>
        <v>0</v>
      </c>
      <c r="AA51" s="4" t="str">
        <f t="shared" si="9"/>
        <v>SHIELDED</v>
      </c>
      <c r="AB51" s="4" t="str">
        <f>IF(MOD(S51,_xlfn.XLOOKUP($A51,tbl_Catalog[sku_id],tbl_Catalog[master_carton_qty]))=0,"CARTON OK","CHECK")</f>
        <v>CARTON OK</v>
      </c>
    </row>
    <row r="52" spans="1:28" x14ac:dyDescent="0.3">
      <c r="A52" s="36" t="s">
        <v>328</v>
      </c>
      <c r="B52" s="16" t="s">
        <v>293</v>
      </c>
      <c r="C52" s="4" t="s">
        <v>188</v>
      </c>
      <c r="D52" s="41">
        <v>0</v>
      </c>
      <c r="E52" s="42">
        <f t="shared" si="5"/>
        <v>0</v>
      </c>
      <c r="F52" s="31">
        <v>0</v>
      </c>
      <c r="G52" s="31">
        <v>0</v>
      </c>
      <c r="H52" s="43">
        <f t="shared" si="6"/>
        <v>0</v>
      </c>
      <c r="I52" s="32">
        <v>0</v>
      </c>
      <c r="J52" s="4" t="b">
        <v>1</v>
      </c>
      <c r="K52" s="39">
        <v>0.1268</v>
      </c>
      <c r="L52" s="30">
        <v>8.2400000000000001E-2</v>
      </c>
      <c r="M52" s="41">
        <v>0.63</v>
      </c>
      <c r="N52" s="44">
        <v>1</v>
      </c>
      <c r="O52" s="41">
        <v>2.78</v>
      </c>
      <c r="P52" s="41">
        <v>5.44</v>
      </c>
      <c r="Q52" s="41">
        <v>3</v>
      </c>
      <c r="R52" s="45">
        <v>0</v>
      </c>
      <c r="S52" s="46">
        <f>MIN(R52,Q52)*_xlfn.XLOOKUP($A52,tbl_Catalog[sku_id],tbl_Catalog[master_carton_qty])</f>
        <v>0</v>
      </c>
      <c r="T52" s="41">
        <f>IF(_xlfn.XLOOKUP($A52,tbl_Catalog[sku_id],tbl_Catalog[master_carton_qty])&gt;0,S52/_xlfn.XLOOKUP($A52,tbl_Catalog[sku_id],tbl_Catalog[master_carton_qty]),0)</f>
        <v>0</v>
      </c>
      <c r="U52" s="41">
        <v>0</v>
      </c>
      <c r="V52" s="41">
        <v>0</v>
      </c>
      <c r="W52" s="41">
        <v>0</v>
      </c>
      <c r="X52" s="30">
        <f>T52*_xlfn.XLOOKUP($A52,tbl_Catalog[sku_id],tbl_Catalog[carton_volume_cbm])</f>
        <v>0</v>
      </c>
      <c r="Y52" s="31">
        <f t="shared" si="7"/>
        <v>0</v>
      </c>
      <c r="Z52" s="47">
        <f t="shared" si="8"/>
        <v>0</v>
      </c>
      <c r="AA52" s="4" t="str">
        <f t="shared" si="9"/>
        <v>EXEMPT / AUDIT</v>
      </c>
      <c r="AB52" s="4" t="str">
        <f>IF(MOD(S52,_xlfn.XLOOKUP($A52,tbl_Catalog[sku_id],tbl_Catalog[master_carton_qty]))=0,"CARTON OK","CHECK")</f>
        <v>CARTON OK</v>
      </c>
    </row>
    <row r="53" spans="1:28" x14ac:dyDescent="0.3">
      <c r="A53" s="36" t="s">
        <v>331</v>
      </c>
      <c r="B53" s="16" t="s">
        <v>293</v>
      </c>
      <c r="C53" s="4" t="s">
        <v>221</v>
      </c>
      <c r="D53" s="41">
        <v>734</v>
      </c>
      <c r="E53" s="42">
        <f t="shared" si="5"/>
        <v>734</v>
      </c>
      <c r="F53" s="31">
        <v>21.13</v>
      </c>
      <c r="G53" s="31">
        <v>19.059999999999999</v>
      </c>
      <c r="H53" s="43">
        <f t="shared" si="6"/>
        <v>21.13</v>
      </c>
      <c r="I53" s="32">
        <v>0.32</v>
      </c>
      <c r="J53" s="4" t="b">
        <v>0</v>
      </c>
      <c r="K53" s="39">
        <v>40.866700000000002</v>
      </c>
      <c r="L53" s="30">
        <v>12.632</v>
      </c>
      <c r="M53" s="41">
        <v>269.89</v>
      </c>
      <c r="N53" s="44">
        <v>1308</v>
      </c>
      <c r="O53" s="41">
        <v>1880.13</v>
      </c>
      <c r="P53" s="41">
        <v>2738.33</v>
      </c>
      <c r="Q53" s="41">
        <v>31</v>
      </c>
      <c r="R53" s="45">
        <v>21</v>
      </c>
      <c r="S53" s="46">
        <f>MIN(R53,Q53)*_xlfn.XLOOKUP($A53,tbl_Catalog[sku_id],tbl_Catalog[master_carton_qty])</f>
        <v>2100</v>
      </c>
      <c r="T53" s="41">
        <f>IF(_xlfn.XLOOKUP($A53,tbl_Catalog[sku_id],tbl_Catalog[master_carton_qty])&gt;0,S53/_xlfn.XLOOKUP($A53,tbl_Catalog[sku_id],tbl_Catalog[master_carton_qty]),0)</f>
        <v>21</v>
      </c>
      <c r="U53" s="41">
        <v>0</v>
      </c>
      <c r="V53" s="41">
        <v>0</v>
      </c>
      <c r="W53" s="41">
        <v>0</v>
      </c>
      <c r="X53" s="30">
        <f>T53*_xlfn.XLOOKUP($A53,tbl_Catalog[sku_id],tbl_Catalog[carton_volume_cbm])</f>
        <v>1.26</v>
      </c>
      <c r="Y53" s="31">
        <f t="shared" si="7"/>
        <v>69.347414887916074</v>
      </c>
      <c r="Z53" s="47">
        <f t="shared" si="8"/>
        <v>672</v>
      </c>
      <c r="AA53" s="4" t="str">
        <f t="shared" si="9"/>
        <v>LOW-INVENTORY FEE ACTIVE</v>
      </c>
      <c r="AB53" s="4" t="str">
        <f>IF(MOD(S53,_xlfn.XLOOKUP($A53,tbl_Catalog[sku_id],tbl_Catalog[master_carton_qty]))=0,"CARTON OK","CHECK")</f>
        <v>CARTON OK</v>
      </c>
    </row>
    <row r="54" spans="1:28" x14ac:dyDescent="0.3">
      <c r="A54" s="36" t="s">
        <v>334</v>
      </c>
      <c r="B54" s="16" t="s">
        <v>293</v>
      </c>
      <c r="C54" s="4" t="s">
        <v>221</v>
      </c>
      <c r="D54" s="41">
        <v>89</v>
      </c>
      <c r="E54" s="42">
        <f t="shared" si="5"/>
        <v>89</v>
      </c>
      <c r="F54" s="31">
        <v>18.95</v>
      </c>
      <c r="G54" s="31">
        <v>30.53</v>
      </c>
      <c r="H54" s="43">
        <f t="shared" si="6"/>
        <v>30.53</v>
      </c>
      <c r="I54" s="32">
        <v>0</v>
      </c>
      <c r="J54" s="4" t="b">
        <v>0</v>
      </c>
      <c r="K54" s="39">
        <v>22.2667</v>
      </c>
      <c r="L54" s="30">
        <v>7.1253000000000002</v>
      </c>
      <c r="M54" s="41">
        <v>147.72999999999999</v>
      </c>
      <c r="N54" s="44">
        <v>713</v>
      </c>
      <c r="O54" s="41">
        <v>1024.73</v>
      </c>
      <c r="P54" s="41">
        <v>1492.33</v>
      </c>
      <c r="Q54" s="41">
        <v>0</v>
      </c>
      <c r="R54" s="45">
        <v>15</v>
      </c>
      <c r="S54" s="46">
        <f>MIN(R54,Q54)*_xlfn.XLOOKUP($A54,tbl_Catalog[sku_id],tbl_Catalog[master_carton_qty])</f>
        <v>0</v>
      </c>
      <c r="T54" s="41">
        <f>IF(_xlfn.XLOOKUP($A54,tbl_Catalog[sku_id],tbl_Catalog[master_carton_qty])&gt;0,S54/_xlfn.XLOOKUP($A54,tbl_Catalog[sku_id],tbl_Catalog[master_carton_qty]),0)</f>
        <v>0</v>
      </c>
      <c r="U54" s="41">
        <v>0</v>
      </c>
      <c r="V54" s="41">
        <v>0</v>
      </c>
      <c r="W54" s="41">
        <v>0</v>
      </c>
      <c r="X54" s="30">
        <f>T54*_xlfn.XLOOKUP($A54,tbl_Catalog[sku_id],tbl_Catalog[carton_volume_cbm])</f>
        <v>0</v>
      </c>
      <c r="Y54" s="31">
        <f t="shared" si="7"/>
        <v>3.997000004491011</v>
      </c>
      <c r="Z54" s="47">
        <f t="shared" si="8"/>
        <v>0</v>
      </c>
      <c r="AA54" s="4" t="str">
        <f t="shared" si="9"/>
        <v>SHIELDED</v>
      </c>
      <c r="AB54" s="4" t="str">
        <f>IF(MOD(S54,_xlfn.XLOOKUP($A54,tbl_Catalog[sku_id],tbl_Catalog[master_carton_qty]))=0,"CARTON OK","CHECK")</f>
        <v>CARTON OK</v>
      </c>
    </row>
    <row r="55" spans="1:28" x14ac:dyDescent="0.3">
      <c r="A55" s="36" t="s">
        <v>337</v>
      </c>
      <c r="B55" s="16" t="s">
        <v>293</v>
      </c>
      <c r="C55" s="4" t="s">
        <v>221</v>
      </c>
      <c r="D55" s="41">
        <v>833</v>
      </c>
      <c r="E55" s="42">
        <f t="shared" si="5"/>
        <v>833</v>
      </c>
      <c r="F55" s="31">
        <v>23.25</v>
      </c>
      <c r="G55" s="31">
        <v>22.89</v>
      </c>
      <c r="H55" s="43">
        <f t="shared" si="6"/>
        <v>23.25</v>
      </c>
      <c r="I55" s="32">
        <v>0.32</v>
      </c>
      <c r="J55" s="4" t="b">
        <v>0</v>
      </c>
      <c r="K55" s="39">
        <v>33.299999999999997</v>
      </c>
      <c r="L55" s="30">
        <v>10.656000000000001</v>
      </c>
      <c r="M55" s="41">
        <v>220.93</v>
      </c>
      <c r="N55" s="44">
        <v>1066</v>
      </c>
      <c r="O55" s="41">
        <v>1532.2</v>
      </c>
      <c r="P55" s="41">
        <v>2231.5</v>
      </c>
      <c r="Q55" s="41">
        <v>7</v>
      </c>
      <c r="R55" s="45">
        <v>14</v>
      </c>
      <c r="S55" s="46">
        <f>MIN(R55,Q55)*_xlfn.XLOOKUP($A55,tbl_Catalog[sku_id],tbl_Catalog[master_carton_qty])</f>
        <v>700</v>
      </c>
      <c r="T55" s="41">
        <f>IF(_xlfn.XLOOKUP($A55,tbl_Catalog[sku_id],tbl_Catalog[master_carton_qty])&gt;0,S55/_xlfn.XLOOKUP($A55,tbl_Catalog[sku_id],tbl_Catalog[master_carton_qty]),0)</f>
        <v>7</v>
      </c>
      <c r="U55" s="41">
        <v>0</v>
      </c>
      <c r="V55" s="41">
        <v>0</v>
      </c>
      <c r="W55" s="41">
        <v>0</v>
      </c>
      <c r="X55" s="30">
        <f>T55*_xlfn.XLOOKUP($A55,tbl_Catalog[sku_id],tbl_Catalog[carton_volume_cbm])</f>
        <v>0.42</v>
      </c>
      <c r="Y55" s="31">
        <f t="shared" si="7"/>
        <v>46.036036036036037</v>
      </c>
      <c r="Z55" s="47">
        <f t="shared" si="8"/>
        <v>224</v>
      </c>
      <c r="AA55" s="4" t="str">
        <f t="shared" si="9"/>
        <v>LOW-INVENTORY FEE ACTIVE</v>
      </c>
      <c r="AB55" s="4" t="str">
        <f>IF(MOD(S55,_xlfn.XLOOKUP($A55,tbl_Catalog[sku_id],tbl_Catalog[master_carton_qty]))=0,"CARTON OK","CHECK")</f>
        <v>CARTON OK</v>
      </c>
    </row>
    <row r="56" spans="1:28" x14ac:dyDescent="0.3">
      <c r="A56" s="36" t="s">
        <v>340</v>
      </c>
      <c r="B56" s="16" t="s">
        <v>293</v>
      </c>
      <c r="C56" s="4" t="s">
        <v>172</v>
      </c>
      <c r="D56" s="41">
        <v>576</v>
      </c>
      <c r="E56" s="42">
        <f t="shared" si="5"/>
        <v>876</v>
      </c>
      <c r="F56" s="31">
        <v>38.450000000000003</v>
      </c>
      <c r="G56" s="31">
        <v>36.6</v>
      </c>
      <c r="H56" s="43">
        <f t="shared" si="6"/>
        <v>38.450000000000003</v>
      </c>
      <c r="I56" s="32">
        <v>0</v>
      </c>
      <c r="J56" s="4" t="b">
        <v>0</v>
      </c>
      <c r="K56" s="39">
        <v>16.533300000000001</v>
      </c>
      <c r="L56" s="30">
        <v>7.1105999999999998</v>
      </c>
      <c r="M56" s="41">
        <v>105.87</v>
      </c>
      <c r="N56" s="44">
        <v>530</v>
      </c>
      <c r="O56" s="41">
        <v>761.47</v>
      </c>
      <c r="P56" s="41">
        <v>1108.67</v>
      </c>
      <c r="Q56" s="41">
        <v>0</v>
      </c>
      <c r="R56" s="45">
        <v>0</v>
      </c>
      <c r="S56" s="46">
        <f>MIN(R56,Q56)*_xlfn.XLOOKUP($A56,tbl_Catalog[sku_id],tbl_Catalog[master_carton_qty])</f>
        <v>0</v>
      </c>
      <c r="T56" s="41">
        <f>IF(_xlfn.XLOOKUP($A56,tbl_Catalog[sku_id],tbl_Catalog[master_carton_qty])&gt;0,S56/_xlfn.XLOOKUP($A56,tbl_Catalog[sku_id],tbl_Catalog[master_carton_qty]),0)</f>
        <v>0</v>
      </c>
      <c r="U56" s="41">
        <v>0</v>
      </c>
      <c r="V56" s="41">
        <v>300</v>
      </c>
      <c r="W56" s="41">
        <v>0</v>
      </c>
      <c r="X56" s="30">
        <f>T56*_xlfn.XLOOKUP($A56,tbl_Catalog[sku_id],tbl_Catalog[carton_volume_cbm])</f>
        <v>0</v>
      </c>
      <c r="Y56" s="31">
        <f t="shared" si="7"/>
        <v>52.983977790277798</v>
      </c>
      <c r="Z56" s="47">
        <f t="shared" si="8"/>
        <v>0</v>
      </c>
      <c r="AA56" s="4" t="str">
        <f t="shared" si="9"/>
        <v>SHIELDED</v>
      </c>
      <c r="AB56" s="4" t="str">
        <f>IF(MOD(S56,_xlfn.XLOOKUP($A56,tbl_Catalog[sku_id],tbl_Catalog[master_carton_qty]))=0,"CARTON OK","CHECK")</f>
        <v>CARTON OK</v>
      </c>
    </row>
    <row r="57" spans="1:28" x14ac:dyDescent="0.3">
      <c r="A57" s="36" t="s">
        <v>343</v>
      </c>
      <c r="B57" s="16" t="s">
        <v>293</v>
      </c>
      <c r="C57" s="4" t="s">
        <v>221</v>
      </c>
      <c r="D57" s="41">
        <v>132</v>
      </c>
      <c r="E57" s="42">
        <f t="shared" si="5"/>
        <v>132</v>
      </c>
      <c r="F57" s="31">
        <v>19.04</v>
      </c>
      <c r="G57" s="31">
        <v>29.46</v>
      </c>
      <c r="H57" s="43">
        <f t="shared" si="6"/>
        <v>29.46</v>
      </c>
      <c r="I57" s="32">
        <v>0</v>
      </c>
      <c r="J57" s="4" t="b">
        <v>0</v>
      </c>
      <c r="K57" s="39">
        <v>22.7667</v>
      </c>
      <c r="L57" s="30">
        <v>7.0930999999999997</v>
      </c>
      <c r="M57" s="41">
        <v>150.51</v>
      </c>
      <c r="N57" s="44">
        <v>729</v>
      </c>
      <c r="O57" s="41">
        <v>1047.73</v>
      </c>
      <c r="P57" s="41">
        <v>1525.83</v>
      </c>
      <c r="Q57" s="41">
        <v>0</v>
      </c>
      <c r="R57" s="45">
        <v>14</v>
      </c>
      <c r="S57" s="46">
        <f>MIN(R57,Q57)*_xlfn.XLOOKUP($A57,tbl_Catalog[sku_id],tbl_Catalog[master_carton_qty])</f>
        <v>0</v>
      </c>
      <c r="T57" s="41">
        <f>IF(_xlfn.XLOOKUP($A57,tbl_Catalog[sku_id],tbl_Catalog[master_carton_qty])&gt;0,S57/_xlfn.XLOOKUP($A57,tbl_Catalog[sku_id],tbl_Catalog[master_carton_qty]),0)</f>
        <v>0</v>
      </c>
      <c r="U57" s="41">
        <v>0</v>
      </c>
      <c r="V57" s="41">
        <v>0</v>
      </c>
      <c r="W57" s="41">
        <v>0</v>
      </c>
      <c r="X57" s="30">
        <f>T57*_xlfn.XLOOKUP($A57,tbl_Catalog[sku_id],tbl_Catalog[carton_volume_cbm])</f>
        <v>0</v>
      </c>
      <c r="Y57" s="31">
        <f t="shared" si="7"/>
        <v>5.7979417306856069</v>
      </c>
      <c r="Z57" s="47">
        <f t="shared" si="8"/>
        <v>0</v>
      </c>
      <c r="AA57" s="4" t="str">
        <f t="shared" si="9"/>
        <v>SHIELDED</v>
      </c>
      <c r="AB57" s="4" t="str">
        <f>IF(MOD(S57,_xlfn.XLOOKUP($A57,tbl_Catalog[sku_id],tbl_Catalog[master_carton_qty]))=0,"CARTON OK","CHECK")</f>
        <v>CARTON OK</v>
      </c>
    </row>
    <row r="58" spans="1:28" x14ac:dyDescent="0.3">
      <c r="A58" s="36" t="s">
        <v>346</v>
      </c>
      <c r="B58" s="16" t="s">
        <v>293</v>
      </c>
      <c r="C58" s="4" t="s">
        <v>184</v>
      </c>
      <c r="D58" s="41">
        <v>0</v>
      </c>
      <c r="E58" s="42">
        <f t="shared" si="5"/>
        <v>0</v>
      </c>
      <c r="F58" s="31">
        <v>2.2000000000000002</v>
      </c>
      <c r="G58" s="31">
        <v>33.82</v>
      </c>
      <c r="H58" s="43">
        <f t="shared" si="6"/>
        <v>33.82</v>
      </c>
      <c r="I58" s="32">
        <v>0</v>
      </c>
      <c r="J58" s="4" t="b">
        <v>1</v>
      </c>
      <c r="K58" s="39">
        <v>1.8894</v>
      </c>
      <c r="L58" s="30">
        <v>0.94469999999999998</v>
      </c>
      <c r="M58" s="41">
        <v>10.99</v>
      </c>
      <c r="N58" s="44">
        <v>11</v>
      </c>
      <c r="O58" s="41">
        <v>37.450000000000003</v>
      </c>
      <c r="P58" s="41">
        <v>77.13</v>
      </c>
      <c r="Q58" s="41">
        <v>3</v>
      </c>
      <c r="R58" s="45">
        <v>1</v>
      </c>
      <c r="S58" s="46">
        <f>MIN(R58,Q58)*_xlfn.XLOOKUP($A58,tbl_Catalog[sku_id],tbl_Catalog[master_carton_qty])</f>
        <v>100</v>
      </c>
      <c r="T58" s="41">
        <f>IF(_xlfn.XLOOKUP($A58,tbl_Catalog[sku_id],tbl_Catalog[master_carton_qty])&gt;0,S58/_xlfn.XLOOKUP($A58,tbl_Catalog[sku_id],tbl_Catalog[master_carton_qty]),0)</f>
        <v>1</v>
      </c>
      <c r="U58" s="41">
        <v>0</v>
      </c>
      <c r="V58" s="41">
        <v>0</v>
      </c>
      <c r="W58" s="41">
        <v>0</v>
      </c>
      <c r="X58" s="30">
        <f>T58*_xlfn.XLOOKUP($A58,tbl_Catalog[sku_id],tbl_Catalog[carton_volume_cbm])</f>
        <v>0.06</v>
      </c>
      <c r="Y58" s="31">
        <f t="shared" si="7"/>
        <v>52.926855086270777</v>
      </c>
      <c r="Z58" s="47">
        <f t="shared" si="8"/>
        <v>0</v>
      </c>
      <c r="AA58" s="4" t="str">
        <f t="shared" si="9"/>
        <v>SHIELDED</v>
      </c>
      <c r="AB58" s="4" t="str">
        <f>IF(MOD(S58,_xlfn.XLOOKUP($A58,tbl_Catalog[sku_id],tbl_Catalog[master_carton_qty]))=0,"CARTON OK","CHECK")</f>
        <v>CARTON OK</v>
      </c>
    </row>
    <row r="59" spans="1:28" x14ac:dyDescent="0.3">
      <c r="A59" s="36" t="s">
        <v>349</v>
      </c>
      <c r="B59" s="16" t="s">
        <v>293</v>
      </c>
      <c r="C59" s="4" t="s">
        <v>172</v>
      </c>
      <c r="D59" s="41">
        <v>95</v>
      </c>
      <c r="E59" s="42">
        <f t="shared" si="5"/>
        <v>1095</v>
      </c>
      <c r="F59" s="31">
        <v>20.74</v>
      </c>
      <c r="G59" s="31">
        <v>29.5</v>
      </c>
      <c r="H59" s="43">
        <f t="shared" si="6"/>
        <v>29.5</v>
      </c>
      <c r="I59" s="32">
        <v>0</v>
      </c>
      <c r="J59" s="4" t="b">
        <v>0</v>
      </c>
      <c r="K59" s="39">
        <v>15.966699999999999</v>
      </c>
      <c r="L59" s="30">
        <v>7.0098000000000003</v>
      </c>
      <c r="M59" s="41">
        <v>102.72</v>
      </c>
      <c r="N59" s="44">
        <v>511</v>
      </c>
      <c r="O59" s="41">
        <v>734.53</v>
      </c>
      <c r="P59" s="41">
        <v>1069.83</v>
      </c>
      <c r="Q59" s="41">
        <v>1</v>
      </c>
      <c r="R59" s="45">
        <v>0</v>
      </c>
      <c r="S59" s="46">
        <f>MIN(R59,Q59)*_xlfn.XLOOKUP($A59,tbl_Catalog[sku_id],tbl_Catalog[master_carton_qty])</f>
        <v>0</v>
      </c>
      <c r="T59" s="41">
        <f>IF(_xlfn.XLOOKUP($A59,tbl_Catalog[sku_id],tbl_Catalog[master_carton_qty])&gt;0,S59/_xlfn.XLOOKUP($A59,tbl_Catalog[sku_id],tbl_Catalog[master_carton_qty]),0)</f>
        <v>0</v>
      </c>
      <c r="U59" s="41">
        <v>0</v>
      </c>
      <c r="V59" s="41">
        <v>1000</v>
      </c>
      <c r="W59" s="41">
        <v>0</v>
      </c>
      <c r="X59" s="30">
        <f>T59*_xlfn.XLOOKUP($A59,tbl_Catalog[sku_id],tbl_Catalog[carton_volume_cbm])</f>
        <v>0</v>
      </c>
      <c r="Y59" s="31">
        <f t="shared" si="7"/>
        <v>68.580232609117729</v>
      </c>
      <c r="Z59" s="47">
        <f t="shared" si="8"/>
        <v>0</v>
      </c>
      <c r="AA59" s="4" t="str">
        <f t="shared" si="9"/>
        <v>SHIELDED</v>
      </c>
      <c r="AB59" s="4" t="str">
        <f>IF(MOD(S59,_xlfn.XLOOKUP($A59,tbl_Catalog[sku_id],tbl_Catalog[master_carton_qty]))=0,"CARTON OK","CHECK")</f>
        <v>CARTON OK</v>
      </c>
    </row>
    <row r="60" spans="1:28" x14ac:dyDescent="0.3">
      <c r="A60" s="36" t="s">
        <v>352</v>
      </c>
      <c r="B60" s="16" t="s">
        <v>293</v>
      </c>
      <c r="C60" s="4" t="s">
        <v>179</v>
      </c>
      <c r="D60" s="41">
        <v>0</v>
      </c>
      <c r="E60" s="42">
        <f t="shared" si="5"/>
        <v>0</v>
      </c>
      <c r="F60" s="31">
        <v>0</v>
      </c>
      <c r="G60" s="31">
        <v>0</v>
      </c>
      <c r="H60" s="43">
        <f t="shared" si="6"/>
        <v>0</v>
      </c>
      <c r="I60" s="32">
        <v>0</v>
      </c>
      <c r="J60" s="4" t="b">
        <v>1</v>
      </c>
      <c r="K60" s="39">
        <v>1.5366</v>
      </c>
      <c r="L60" s="30">
        <v>0.6915</v>
      </c>
      <c r="M60" s="41">
        <v>8.6999999999999993</v>
      </c>
      <c r="N60" s="44">
        <v>9</v>
      </c>
      <c r="O60" s="41">
        <v>30.51</v>
      </c>
      <c r="P60" s="41">
        <v>62.78</v>
      </c>
      <c r="Q60" s="41">
        <v>2</v>
      </c>
      <c r="R60" s="45">
        <v>1</v>
      </c>
      <c r="S60" s="46">
        <f>MIN(R60,Q60)*_xlfn.XLOOKUP($A60,tbl_Catalog[sku_id],tbl_Catalog[master_carton_qty])</f>
        <v>100</v>
      </c>
      <c r="T60" s="41">
        <f>IF(_xlfn.XLOOKUP($A60,tbl_Catalog[sku_id],tbl_Catalog[master_carton_qty])&gt;0,S60/_xlfn.XLOOKUP($A60,tbl_Catalog[sku_id],tbl_Catalog[master_carton_qty]),0)</f>
        <v>1</v>
      </c>
      <c r="U60" s="41">
        <v>0</v>
      </c>
      <c r="V60" s="41">
        <v>0</v>
      </c>
      <c r="W60" s="41">
        <v>0</v>
      </c>
      <c r="X60" s="30">
        <f>T60*_xlfn.XLOOKUP($A60,tbl_Catalog[sku_id],tbl_Catalog[carton_volume_cbm])</f>
        <v>0.06</v>
      </c>
      <c r="Y60" s="31">
        <f t="shared" si="7"/>
        <v>65.078745281790972</v>
      </c>
      <c r="Z60" s="47">
        <f t="shared" si="8"/>
        <v>0</v>
      </c>
      <c r="AA60" s="4" t="str">
        <f t="shared" si="9"/>
        <v>EXEMPT / AUDIT</v>
      </c>
      <c r="AB60" s="4" t="str">
        <f>IF(MOD(S60,_xlfn.XLOOKUP($A60,tbl_Catalog[sku_id],tbl_Catalog[master_carton_qty]))=0,"CARTON OK","CHECK")</f>
        <v>CARTON OK</v>
      </c>
    </row>
    <row r="61" spans="1:28" x14ac:dyDescent="0.3">
      <c r="A61" s="36" t="s">
        <v>355</v>
      </c>
      <c r="B61" s="16" t="s">
        <v>293</v>
      </c>
      <c r="C61" s="4" t="s">
        <v>184</v>
      </c>
      <c r="D61" s="41">
        <v>86</v>
      </c>
      <c r="E61" s="42">
        <f t="shared" si="5"/>
        <v>86</v>
      </c>
      <c r="F61" s="31">
        <v>33</v>
      </c>
      <c r="G61" s="31">
        <v>29.86</v>
      </c>
      <c r="H61" s="43">
        <f t="shared" si="6"/>
        <v>33</v>
      </c>
      <c r="I61" s="32">
        <v>0</v>
      </c>
      <c r="J61" s="4" t="b">
        <v>1</v>
      </c>
      <c r="K61" s="39">
        <v>2.0244</v>
      </c>
      <c r="L61" s="30">
        <v>1.0122</v>
      </c>
      <c r="M61" s="41">
        <v>11.77</v>
      </c>
      <c r="N61" s="44">
        <v>12</v>
      </c>
      <c r="O61" s="41">
        <v>40.340000000000003</v>
      </c>
      <c r="P61" s="41">
        <v>82.85</v>
      </c>
      <c r="Q61" s="41">
        <v>1</v>
      </c>
      <c r="R61" s="45">
        <v>0</v>
      </c>
      <c r="S61" s="46">
        <f>MIN(R61,Q61)*_xlfn.XLOOKUP($A61,tbl_Catalog[sku_id],tbl_Catalog[master_carton_qty])</f>
        <v>0</v>
      </c>
      <c r="T61" s="41">
        <f>IF(_xlfn.XLOOKUP($A61,tbl_Catalog[sku_id],tbl_Catalog[master_carton_qty])&gt;0,S61/_xlfn.XLOOKUP($A61,tbl_Catalog[sku_id],tbl_Catalog[master_carton_qty]),0)</f>
        <v>0</v>
      </c>
      <c r="U61" s="41">
        <v>0</v>
      </c>
      <c r="V61" s="41">
        <v>0</v>
      </c>
      <c r="W61" s="41">
        <v>0</v>
      </c>
      <c r="X61" s="30">
        <f>T61*_xlfn.XLOOKUP($A61,tbl_Catalog[sku_id],tbl_Catalog[carton_volume_cbm])</f>
        <v>0</v>
      </c>
      <c r="Y61" s="31">
        <f t="shared" si="7"/>
        <v>42.481722979648289</v>
      </c>
      <c r="Z61" s="47">
        <f t="shared" si="8"/>
        <v>0</v>
      </c>
      <c r="AA61" s="4" t="str">
        <f t="shared" si="9"/>
        <v>SHIELDED</v>
      </c>
      <c r="AB61" s="4" t="str">
        <f>IF(MOD(S61,_xlfn.XLOOKUP($A61,tbl_Catalog[sku_id],tbl_Catalog[master_carton_qty]))=0,"CARTON OK","CHECK")</f>
        <v>CARTON OK</v>
      </c>
    </row>
    <row r="62" spans="1:28" x14ac:dyDescent="0.3">
      <c r="A62" s="36" t="s">
        <v>358</v>
      </c>
      <c r="B62" s="16" t="s">
        <v>293</v>
      </c>
      <c r="C62" s="4" t="s">
        <v>188</v>
      </c>
      <c r="D62" s="41">
        <v>0</v>
      </c>
      <c r="E62" s="42">
        <f t="shared" si="5"/>
        <v>0</v>
      </c>
      <c r="F62" s="31">
        <v>0</v>
      </c>
      <c r="G62" s="31">
        <v>0</v>
      </c>
      <c r="H62" s="43">
        <f t="shared" si="6"/>
        <v>0</v>
      </c>
      <c r="I62" s="32">
        <v>0</v>
      </c>
      <c r="J62" s="4" t="b">
        <v>1</v>
      </c>
      <c r="K62" s="39">
        <v>0.74</v>
      </c>
      <c r="L62" s="30">
        <v>0.48099999999999998</v>
      </c>
      <c r="M62" s="41">
        <v>3.66</v>
      </c>
      <c r="N62" s="44">
        <v>4</v>
      </c>
      <c r="O62" s="41">
        <v>14.36</v>
      </c>
      <c r="P62" s="41">
        <v>29.9</v>
      </c>
      <c r="Q62" s="41">
        <v>1</v>
      </c>
      <c r="R62" s="45">
        <v>0</v>
      </c>
      <c r="S62" s="46">
        <f>MIN(R62,Q62)*_xlfn.XLOOKUP($A62,tbl_Catalog[sku_id],tbl_Catalog[master_carton_qty])</f>
        <v>0</v>
      </c>
      <c r="T62" s="41">
        <f>IF(_xlfn.XLOOKUP($A62,tbl_Catalog[sku_id],tbl_Catalog[master_carton_qty])&gt;0,S62/_xlfn.XLOOKUP($A62,tbl_Catalog[sku_id],tbl_Catalog[master_carton_qty]),0)</f>
        <v>0</v>
      </c>
      <c r="U62" s="41">
        <v>0</v>
      </c>
      <c r="V62" s="41">
        <v>0</v>
      </c>
      <c r="W62" s="41">
        <v>0</v>
      </c>
      <c r="X62" s="30">
        <f>T62*_xlfn.XLOOKUP($A62,tbl_Catalog[sku_id],tbl_Catalog[carton_volume_cbm])</f>
        <v>0</v>
      </c>
      <c r="Y62" s="31">
        <f t="shared" si="7"/>
        <v>0</v>
      </c>
      <c r="Z62" s="47">
        <f t="shared" si="8"/>
        <v>0</v>
      </c>
      <c r="AA62" s="4" t="str">
        <f t="shared" si="9"/>
        <v>EXEMPT / AUDIT</v>
      </c>
      <c r="AB62" s="4" t="str">
        <f>IF(MOD(S62,_xlfn.XLOOKUP($A62,tbl_Catalog[sku_id],tbl_Catalog[master_carton_qty]))=0,"CARTON OK","CHECK")</f>
        <v>CARTON OK</v>
      </c>
    </row>
    <row r="63" spans="1:28" x14ac:dyDescent="0.3">
      <c r="A63" s="36" t="s">
        <v>361</v>
      </c>
      <c r="B63" s="16" t="s">
        <v>293</v>
      </c>
      <c r="C63" s="4" t="s">
        <v>179</v>
      </c>
      <c r="D63" s="41">
        <v>49</v>
      </c>
      <c r="E63" s="42">
        <f t="shared" si="5"/>
        <v>149</v>
      </c>
      <c r="F63" s="31">
        <v>47.84</v>
      </c>
      <c r="G63" s="31">
        <v>49.14</v>
      </c>
      <c r="H63" s="43">
        <f t="shared" si="6"/>
        <v>49.14</v>
      </c>
      <c r="I63" s="32">
        <v>0</v>
      </c>
      <c r="J63" s="4" t="b">
        <v>1</v>
      </c>
      <c r="K63" s="39">
        <v>1.5</v>
      </c>
      <c r="L63" s="30">
        <v>1.02</v>
      </c>
      <c r="M63" s="41">
        <v>9.7100000000000009</v>
      </c>
      <c r="N63" s="44">
        <v>10</v>
      </c>
      <c r="O63" s="41">
        <v>31</v>
      </c>
      <c r="P63" s="41">
        <v>62.5</v>
      </c>
      <c r="Q63" s="41">
        <v>0</v>
      </c>
      <c r="R63" s="45">
        <v>0</v>
      </c>
      <c r="S63" s="46">
        <f>MIN(R63,Q63)*_xlfn.XLOOKUP($A63,tbl_Catalog[sku_id],tbl_Catalog[master_carton_qty])</f>
        <v>0</v>
      </c>
      <c r="T63" s="41">
        <f>IF(_xlfn.XLOOKUP($A63,tbl_Catalog[sku_id],tbl_Catalog[master_carton_qty])&gt;0,S63/_xlfn.XLOOKUP($A63,tbl_Catalog[sku_id],tbl_Catalog[master_carton_qty]),0)</f>
        <v>0</v>
      </c>
      <c r="U63" s="41">
        <v>0</v>
      </c>
      <c r="V63" s="41">
        <v>0</v>
      </c>
      <c r="W63" s="41">
        <v>100</v>
      </c>
      <c r="X63" s="30">
        <f>T63*_xlfn.XLOOKUP($A63,tbl_Catalog[sku_id],tbl_Catalog[carton_volume_cbm])</f>
        <v>0</v>
      </c>
      <c r="Y63" s="31">
        <f t="shared" si="7"/>
        <v>99.333333333333329</v>
      </c>
      <c r="Z63" s="47">
        <f t="shared" si="8"/>
        <v>0</v>
      </c>
      <c r="AA63" s="4" t="str">
        <f t="shared" si="9"/>
        <v>SHIELDED</v>
      </c>
      <c r="AB63" s="4" t="str">
        <f>IF(MOD(S63,_xlfn.XLOOKUP($A63,tbl_Catalog[sku_id],tbl_Catalog[master_carton_qty]))=0,"CARTON OK","CHECK")</f>
        <v>CARTON OK</v>
      </c>
    </row>
    <row r="64" spans="1:28" x14ac:dyDescent="0.3">
      <c r="A64" s="36" t="s">
        <v>364</v>
      </c>
      <c r="B64" s="16" t="s">
        <v>293</v>
      </c>
      <c r="C64" s="4" t="s">
        <v>188</v>
      </c>
      <c r="D64" s="41">
        <v>0</v>
      </c>
      <c r="E64" s="42">
        <f t="shared" si="5"/>
        <v>0</v>
      </c>
      <c r="F64" s="31">
        <v>0</v>
      </c>
      <c r="G64" s="31">
        <v>0</v>
      </c>
      <c r="H64" s="43">
        <f t="shared" si="6"/>
        <v>0</v>
      </c>
      <c r="I64" s="32">
        <v>0</v>
      </c>
      <c r="J64" s="4" t="b">
        <v>1</v>
      </c>
      <c r="K64" s="39">
        <v>0.61250000000000004</v>
      </c>
      <c r="L64" s="30">
        <v>0.39810000000000001</v>
      </c>
      <c r="M64" s="41">
        <v>3.03</v>
      </c>
      <c r="N64" s="44">
        <v>4</v>
      </c>
      <c r="O64" s="41">
        <v>12.58</v>
      </c>
      <c r="P64" s="41">
        <v>25.44</v>
      </c>
      <c r="Q64" s="41">
        <v>2</v>
      </c>
      <c r="R64" s="45">
        <v>0</v>
      </c>
      <c r="S64" s="46">
        <f>MIN(R64,Q64)*_xlfn.XLOOKUP($A64,tbl_Catalog[sku_id],tbl_Catalog[master_carton_qty])</f>
        <v>0</v>
      </c>
      <c r="T64" s="41">
        <f>IF(_xlfn.XLOOKUP($A64,tbl_Catalog[sku_id],tbl_Catalog[master_carton_qty])&gt;0,S64/_xlfn.XLOOKUP($A64,tbl_Catalog[sku_id],tbl_Catalog[master_carton_qty]),0)</f>
        <v>0</v>
      </c>
      <c r="U64" s="41">
        <v>0</v>
      </c>
      <c r="V64" s="41">
        <v>0</v>
      </c>
      <c r="W64" s="41">
        <v>0</v>
      </c>
      <c r="X64" s="30">
        <f>T64*_xlfn.XLOOKUP($A64,tbl_Catalog[sku_id],tbl_Catalog[carton_volume_cbm])</f>
        <v>0</v>
      </c>
      <c r="Y64" s="31">
        <f t="shared" si="7"/>
        <v>0</v>
      </c>
      <c r="Z64" s="47">
        <f t="shared" si="8"/>
        <v>0</v>
      </c>
      <c r="AA64" s="4" t="str">
        <f t="shared" si="9"/>
        <v>EXEMPT / AUDIT</v>
      </c>
      <c r="AB64" s="4" t="str">
        <f>IF(MOD(S64,_xlfn.XLOOKUP($A64,tbl_Catalog[sku_id],tbl_Catalog[master_carton_qty]))=0,"CARTON OK","CHECK")</f>
        <v>CARTON OK</v>
      </c>
    </row>
    <row r="65" spans="1:28" x14ac:dyDescent="0.3">
      <c r="A65" s="36" t="s">
        <v>367</v>
      </c>
      <c r="B65" s="16" t="s">
        <v>293</v>
      </c>
      <c r="C65" s="4" t="s">
        <v>221</v>
      </c>
      <c r="D65" s="41">
        <v>1483</v>
      </c>
      <c r="E65" s="42">
        <f t="shared" si="5"/>
        <v>1483</v>
      </c>
      <c r="F65" s="31">
        <v>35.33</v>
      </c>
      <c r="G65" s="31">
        <v>29.29</v>
      </c>
      <c r="H65" s="43">
        <f t="shared" si="6"/>
        <v>35.33</v>
      </c>
      <c r="I65" s="32">
        <v>0</v>
      </c>
      <c r="J65" s="4" t="b">
        <v>0</v>
      </c>
      <c r="K65" s="39">
        <v>36.327800000000003</v>
      </c>
      <c r="L65" s="30">
        <v>11.6249</v>
      </c>
      <c r="M65" s="41">
        <v>241.02</v>
      </c>
      <c r="N65" s="44">
        <v>1163</v>
      </c>
      <c r="O65" s="41">
        <v>1671.59</v>
      </c>
      <c r="P65" s="41">
        <v>2434.4699999999998</v>
      </c>
      <c r="Q65" s="41">
        <v>0</v>
      </c>
      <c r="R65" s="45">
        <v>10</v>
      </c>
      <c r="S65" s="46">
        <f>MIN(R65,Q65)*_xlfn.XLOOKUP($A65,tbl_Catalog[sku_id],tbl_Catalog[master_carton_qty])</f>
        <v>0</v>
      </c>
      <c r="T65" s="41">
        <f>IF(_xlfn.XLOOKUP($A65,tbl_Catalog[sku_id],tbl_Catalog[master_carton_qty])&gt;0,S65/_xlfn.XLOOKUP($A65,tbl_Catalog[sku_id],tbl_Catalog[master_carton_qty]),0)</f>
        <v>0</v>
      </c>
      <c r="U65" s="41">
        <v>0</v>
      </c>
      <c r="V65" s="41">
        <v>0</v>
      </c>
      <c r="W65" s="41">
        <v>0</v>
      </c>
      <c r="X65" s="30">
        <f>T65*_xlfn.XLOOKUP($A65,tbl_Catalog[sku_id],tbl_Catalog[carton_volume_cbm])</f>
        <v>0</v>
      </c>
      <c r="Y65" s="31">
        <f t="shared" si="7"/>
        <v>40.822730801204585</v>
      </c>
      <c r="Z65" s="47">
        <f t="shared" si="8"/>
        <v>0</v>
      </c>
      <c r="AA65" s="4" t="str">
        <f t="shared" si="9"/>
        <v>SHIELDED</v>
      </c>
      <c r="AB65" s="4" t="str">
        <f>IF(MOD(S65,_xlfn.XLOOKUP($A65,tbl_Catalog[sku_id],tbl_Catalog[master_carton_qty]))=0,"CARTON OK","CHECK")</f>
        <v>CARTON OK</v>
      </c>
    </row>
    <row r="66" spans="1:28" x14ac:dyDescent="0.3">
      <c r="A66" s="36" t="s">
        <v>370</v>
      </c>
      <c r="B66" s="16" t="s">
        <v>293</v>
      </c>
      <c r="C66" s="4" t="s">
        <v>172</v>
      </c>
      <c r="D66" s="41">
        <v>578</v>
      </c>
      <c r="E66" s="42">
        <f t="shared" si="5"/>
        <v>578</v>
      </c>
      <c r="F66" s="31">
        <v>26.87</v>
      </c>
      <c r="G66" s="31">
        <v>25.48</v>
      </c>
      <c r="H66" s="43">
        <f t="shared" si="6"/>
        <v>26.87</v>
      </c>
      <c r="I66" s="32">
        <v>0.32</v>
      </c>
      <c r="J66" s="4" t="b">
        <v>0</v>
      </c>
      <c r="K66" s="39">
        <v>19.899999999999999</v>
      </c>
      <c r="L66" s="30">
        <v>8.3223000000000003</v>
      </c>
      <c r="M66" s="41">
        <v>126.65</v>
      </c>
      <c r="N66" s="44">
        <v>637</v>
      </c>
      <c r="O66" s="41">
        <v>915.6</v>
      </c>
      <c r="P66" s="41">
        <v>1333.5</v>
      </c>
      <c r="Q66" s="41">
        <v>0</v>
      </c>
      <c r="R66" s="45">
        <v>8</v>
      </c>
      <c r="S66" s="46">
        <f>MIN(R66,Q66)*_xlfn.XLOOKUP($A66,tbl_Catalog[sku_id],tbl_Catalog[master_carton_qty])</f>
        <v>0</v>
      </c>
      <c r="T66" s="41">
        <f>IF(_xlfn.XLOOKUP($A66,tbl_Catalog[sku_id],tbl_Catalog[master_carton_qty])&gt;0,S66/_xlfn.XLOOKUP($A66,tbl_Catalog[sku_id],tbl_Catalog[master_carton_qty]),0)</f>
        <v>0</v>
      </c>
      <c r="U66" s="41">
        <v>0</v>
      </c>
      <c r="V66" s="41">
        <v>0</v>
      </c>
      <c r="W66" s="41">
        <v>0</v>
      </c>
      <c r="X66" s="30">
        <f>T66*_xlfn.XLOOKUP($A66,tbl_Catalog[sku_id],tbl_Catalog[carton_volume_cbm])</f>
        <v>0</v>
      </c>
      <c r="Y66" s="31">
        <f t="shared" si="7"/>
        <v>29.045226130653269</v>
      </c>
      <c r="Z66" s="47">
        <f t="shared" si="8"/>
        <v>0</v>
      </c>
      <c r="AA66" s="4" t="str">
        <f t="shared" si="9"/>
        <v>LOW-INVENTORY FEE ACTIVE</v>
      </c>
      <c r="AB66" s="4" t="str">
        <f>IF(MOD(S66,_xlfn.XLOOKUP($A66,tbl_Catalog[sku_id],tbl_Catalog[master_carton_qty]))=0,"CARTON OK","CHECK")</f>
        <v>CARTON OK</v>
      </c>
    </row>
    <row r="67" spans="1:28" x14ac:dyDescent="0.3">
      <c r="A67" s="36" t="s">
        <v>373</v>
      </c>
      <c r="B67" s="16" t="s">
        <v>293</v>
      </c>
      <c r="C67" s="4" t="s">
        <v>221</v>
      </c>
      <c r="D67" s="41">
        <v>1162</v>
      </c>
      <c r="E67" s="42">
        <f t="shared" si="5"/>
        <v>1162</v>
      </c>
      <c r="F67" s="31">
        <v>21.99</v>
      </c>
      <c r="G67" s="31">
        <v>31.74</v>
      </c>
      <c r="H67" s="43">
        <f t="shared" si="6"/>
        <v>31.74</v>
      </c>
      <c r="I67" s="32">
        <v>0</v>
      </c>
      <c r="J67" s="4" t="b">
        <v>0</v>
      </c>
      <c r="K67" s="39">
        <v>21.9</v>
      </c>
      <c r="L67" s="30">
        <v>6.6359000000000004</v>
      </c>
      <c r="M67" s="41">
        <v>144.26</v>
      </c>
      <c r="N67" s="44">
        <v>701</v>
      </c>
      <c r="O67" s="41">
        <v>1007.6</v>
      </c>
      <c r="P67" s="41">
        <v>1467.5</v>
      </c>
      <c r="Q67" s="41">
        <v>0</v>
      </c>
      <c r="R67" s="45">
        <v>0</v>
      </c>
      <c r="S67" s="46">
        <f>MIN(R67,Q67)*_xlfn.XLOOKUP($A67,tbl_Catalog[sku_id],tbl_Catalog[master_carton_qty])</f>
        <v>0</v>
      </c>
      <c r="T67" s="41">
        <f>IF(_xlfn.XLOOKUP($A67,tbl_Catalog[sku_id],tbl_Catalog[master_carton_qty])&gt;0,S67/_xlfn.XLOOKUP($A67,tbl_Catalog[sku_id],tbl_Catalog[master_carton_qty]),0)</f>
        <v>0</v>
      </c>
      <c r="U67" s="41">
        <v>0</v>
      </c>
      <c r="V67" s="41">
        <v>0</v>
      </c>
      <c r="W67" s="41">
        <v>0</v>
      </c>
      <c r="X67" s="30">
        <f>T67*_xlfn.XLOOKUP($A67,tbl_Catalog[sku_id],tbl_Catalog[carton_volume_cbm])</f>
        <v>0</v>
      </c>
      <c r="Y67" s="31">
        <f t="shared" si="7"/>
        <v>53.05936073059361</v>
      </c>
      <c r="Z67" s="47">
        <f t="shared" si="8"/>
        <v>0</v>
      </c>
      <c r="AA67" s="4" t="str">
        <f t="shared" si="9"/>
        <v>SHIELDED</v>
      </c>
      <c r="AB67" s="4" t="str">
        <f>IF(MOD(S67,_xlfn.XLOOKUP($A67,tbl_Catalog[sku_id],tbl_Catalog[master_carton_qty]))=0,"CARTON OK","CHECK")</f>
        <v>CARTON OK</v>
      </c>
    </row>
    <row r="68" spans="1:28" x14ac:dyDescent="0.3">
      <c r="A68" s="36" t="s">
        <v>376</v>
      </c>
      <c r="B68" s="16" t="s">
        <v>293</v>
      </c>
      <c r="C68" s="4" t="s">
        <v>184</v>
      </c>
      <c r="D68" s="41">
        <v>0</v>
      </c>
      <c r="E68" s="42">
        <f t="shared" si="5"/>
        <v>0</v>
      </c>
      <c r="F68" s="31">
        <v>13.52</v>
      </c>
      <c r="G68" s="31">
        <v>23.69</v>
      </c>
      <c r="H68" s="43">
        <f t="shared" si="6"/>
        <v>23.69</v>
      </c>
      <c r="I68" s="32">
        <v>0</v>
      </c>
      <c r="J68" s="4" t="b">
        <v>1</v>
      </c>
      <c r="K68" s="39">
        <v>2.1002000000000001</v>
      </c>
      <c r="L68" s="30">
        <v>1.0501</v>
      </c>
      <c r="M68" s="41">
        <v>12.21</v>
      </c>
      <c r="N68" s="44">
        <v>13</v>
      </c>
      <c r="O68" s="41">
        <v>42.4</v>
      </c>
      <c r="P68" s="41">
        <v>86.51</v>
      </c>
      <c r="Q68" s="41">
        <v>0</v>
      </c>
      <c r="R68" s="45">
        <v>1</v>
      </c>
      <c r="S68" s="46">
        <f>MIN(R68,Q68)*_xlfn.XLOOKUP($A68,tbl_Catalog[sku_id],tbl_Catalog[master_carton_qty])</f>
        <v>0</v>
      </c>
      <c r="T68" s="41">
        <f>IF(_xlfn.XLOOKUP($A68,tbl_Catalog[sku_id],tbl_Catalog[master_carton_qty])&gt;0,S68/_xlfn.XLOOKUP($A68,tbl_Catalog[sku_id],tbl_Catalog[master_carton_qty]),0)</f>
        <v>0</v>
      </c>
      <c r="U68" s="41">
        <v>0</v>
      </c>
      <c r="V68" s="41">
        <v>0</v>
      </c>
      <c r="W68" s="41">
        <v>0</v>
      </c>
      <c r="X68" s="30">
        <f>T68*_xlfn.XLOOKUP($A68,tbl_Catalog[sku_id],tbl_Catalog[carton_volume_cbm])</f>
        <v>0</v>
      </c>
      <c r="Y68" s="31">
        <f t="shared" si="7"/>
        <v>0</v>
      </c>
      <c r="Z68" s="47">
        <f t="shared" si="8"/>
        <v>0</v>
      </c>
      <c r="AA68" s="4" t="str">
        <f t="shared" si="9"/>
        <v>EXEMPT / AUDIT</v>
      </c>
      <c r="AB68" s="4" t="str">
        <f>IF(MOD(S68,_xlfn.XLOOKUP($A68,tbl_Catalog[sku_id],tbl_Catalog[master_carton_qty]))=0,"CARTON OK","CHECK")</f>
        <v>CARTON OK</v>
      </c>
    </row>
    <row r="69" spans="1:28" x14ac:dyDescent="0.3">
      <c r="A69" s="36" t="s">
        <v>379</v>
      </c>
      <c r="B69" s="16" t="s">
        <v>293</v>
      </c>
      <c r="C69" s="4" t="s">
        <v>172</v>
      </c>
      <c r="D69" s="41">
        <v>302</v>
      </c>
      <c r="E69" s="42">
        <f t="shared" ref="E69:E100" si="10">D69+U69+V69+W69</f>
        <v>302</v>
      </c>
      <c r="F69" s="31">
        <v>24.63</v>
      </c>
      <c r="G69" s="31">
        <v>30.24</v>
      </c>
      <c r="H69" s="43">
        <f t="shared" ref="H69:H100" si="11">MAX(F69,G69)</f>
        <v>30.24</v>
      </c>
      <c r="I69" s="32">
        <v>0</v>
      </c>
      <c r="J69" s="4" t="b">
        <v>0</v>
      </c>
      <c r="K69" s="39">
        <v>16.399999999999999</v>
      </c>
      <c r="L69" s="30">
        <v>6.2191999999999998</v>
      </c>
      <c r="M69" s="41">
        <v>102.37</v>
      </c>
      <c r="N69" s="44">
        <v>525</v>
      </c>
      <c r="O69" s="41">
        <v>754.6</v>
      </c>
      <c r="P69" s="41">
        <v>1099</v>
      </c>
      <c r="Q69" s="41">
        <v>7</v>
      </c>
      <c r="R69" s="45">
        <v>8</v>
      </c>
      <c r="S69" s="46">
        <f>MIN(R69,Q69)*_xlfn.XLOOKUP($A69,tbl_Catalog[sku_id],tbl_Catalog[master_carton_qty])</f>
        <v>700</v>
      </c>
      <c r="T69" s="41">
        <f>IF(_xlfn.XLOOKUP($A69,tbl_Catalog[sku_id],tbl_Catalog[master_carton_qty])&gt;0,S69/_xlfn.XLOOKUP($A69,tbl_Catalog[sku_id],tbl_Catalog[master_carton_qty]),0)</f>
        <v>7</v>
      </c>
      <c r="U69" s="41">
        <v>0</v>
      </c>
      <c r="V69" s="41">
        <v>0</v>
      </c>
      <c r="W69" s="41">
        <v>0</v>
      </c>
      <c r="X69" s="30">
        <f>T69*_xlfn.XLOOKUP($A69,tbl_Catalog[sku_id],tbl_Catalog[carton_volume_cbm])</f>
        <v>0.42</v>
      </c>
      <c r="Y69" s="31">
        <f t="shared" ref="Y69:Y100" si="12">IF(K69&gt;0,(E69+S69)/K69,0)</f>
        <v>61.09756097560976</v>
      </c>
      <c r="Z69" s="47">
        <f t="shared" ref="Z69:Z100" si="13">S69*I69</f>
        <v>0</v>
      </c>
      <c r="AA69" s="4" t="str">
        <f t="shared" ref="AA69:AA100" si="14">IF(AND(H69&lt;Fee_Threshold,I69&gt;0),"LOW-INVENTORY FEE ACTIVE",IF(H69&lt;Fee_Threshold,"EXEMPT / AUDIT","SHIELDED"))</f>
        <v>SHIELDED</v>
      </c>
      <c r="AB69" s="4" t="str">
        <f>IF(MOD(S69,_xlfn.XLOOKUP($A69,tbl_Catalog[sku_id],tbl_Catalog[master_carton_qty]))=0,"CARTON OK","CHECK")</f>
        <v>CARTON OK</v>
      </c>
    </row>
    <row r="70" spans="1:28" x14ac:dyDescent="0.3">
      <c r="A70" s="36" t="s">
        <v>382</v>
      </c>
      <c r="B70" s="16" t="s">
        <v>293</v>
      </c>
      <c r="C70" s="4" t="s">
        <v>179</v>
      </c>
      <c r="D70" s="41">
        <v>0</v>
      </c>
      <c r="E70" s="42">
        <f t="shared" si="10"/>
        <v>0</v>
      </c>
      <c r="F70" s="31">
        <v>0</v>
      </c>
      <c r="G70" s="31">
        <v>4.25</v>
      </c>
      <c r="H70" s="43">
        <f t="shared" si="11"/>
        <v>4.25</v>
      </c>
      <c r="I70" s="32">
        <v>0</v>
      </c>
      <c r="J70" s="4" t="b">
        <v>1</v>
      </c>
      <c r="K70" s="39">
        <v>1.6303000000000001</v>
      </c>
      <c r="L70" s="30">
        <v>1.1086</v>
      </c>
      <c r="M70" s="41">
        <v>10.55</v>
      </c>
      <c r="N70" s="44">
        <v>11</v>
      </c>
      <c r="O70" s="41">
        <v>33.82</v>
      </c>
      <c r="P70" s="41">
        <v>68.06</v>
      </c>
      <c r="Q70" s="41">
        <v>2</v>
      </c>
      <c r="R70" s="45">
        <v>1</v>
      </c>
      <c r="S70" s="46">
        <f>MIN(R70,Q70)*_xlfn.XLOOKUP($A70,tbl_Catalog[sku_id],tbl_Catalog[master_carton_qty])</f>
        <v>100</v>
      </c>
      <c r="T70" s="41">
        <f>IF(_xlfn.XLOOKUP($A70,tbl_Catalog[sku_id],tbl_Catalog[master_carton_qty])&gt;0,S70/_xlfn.XLOOKUP($A70,tbl_Catalog[sku_id],tbl_Catalog[master_carton_qty]),0)</f>
        <v>1</v>
      </c>
      <c r="U70" s="41">
        <v>0</v>
      </c>
      <c r="V70" s="41">
        <v>0</v>
      </c>
      <c r="W70" s="41">
        <v>0</v>
      </c>
      <c r="X70" s="30">
        <f>T70*_xlfn.XLOOKUP($A70,tbl_Catalog[sku_id],tbl_Catalog[carton_volume_cbm])</f>
        <v>0.06</v>
      </c>
      <c r="Y70" s="31">
        <f t="shared" si="12"/>
        <v>61.338403974728571</v>
      </c>
      <c r="Z70" s="47">
        <f t="shared" si="13"/>
        <v>0</v>
      </c>
      <c r="AA70" s="4" t="str">
        <f t="shared" si="14"/>
        <v>EXEMPT / AUDIT</v>
      </c>
      <c r="AB70" s="4" t="str">
        <f>IF(MOD(S70,_xlfn.XLOOKUP($A70,tbl_Catalog[sku_id],tbl_Catalog[master_carton_qty]))=0,"CARTON OK","CHECK")</f>
        <v>CARTON OK</v>
      </c>
    </row>
    <row r="71" spans="1:28" x14ac:dyDescent="0.3">
      <c r="A71" s="36" t="s">
        <v>385</v>
      </c>
      <c r="B71" s="16" t="s">
        <v>293</v>
      </c>
      <c r="C71" s="4" t="s">
        <v>184</v>
      </c>
      <c r="D71" s="41">
        <v>21</v>
      </c>
      <c r="E71" s="42">
        <f t="shared" si="10"/>
        <v>121</v>
      </c>
      <c r="F71" s="31">
        <v>24.28</v>
      </c>
      <c r="G71" s="31">
        <v>35.24</v>
      </c>
      <c r="H71" s="43">
        <f t="shared" si="11"/>
        <v>35.24</v>
      </c>
      <c r="I71" s="32">
        <v>0</v>
      </c>
      <c r="J71" s="4" t="b">
        <v>0</v>
      </c>
      <c r="K71" s="39">
        <v>2.4666999999999999</v>
      </c>
      <c r="L71" s="30">
        <v>1.2333000000000001</v>
      </c>
      <c r="M71" s="41">
        <v>14.35</v>
      </c>
      <c r="N71" s="44">
        <v>79</v>
      </c>
      <c r="O71" s="41">
        <v>113.53</v>
      </c>
      <c r="P71" s="41">
        <v>165.33</v>
      </c>
      <c r="Q71" s="41">
        <v>0</v>
      </c>
      <c r="R71" s="45">
        <v>0</v>
      </c>
      <c r="S71" s="46">
        <f>MIN(R71,Q71)*_xlfn.XLOOKUP($A71,tbl_Catalog[sku_id],tbl_Catalog[master_carton_qty])</f>
        <v>0</v>
      </c>
      <c r="T71" s="41">
        <f>IF(_xlfn.XLOOKUP($A71,tbl_Catalog[sku_id],tbl_Catalog[master_carton_qty])&gt;0,S71/_xlfn.XLOOKUP($A71,tbl_Catalog[sku_id],tbl_Catalog[master_carton_qty]),0)</f>
        <v>0</v>
      </c>
      <c r="U71" s="41">
        <v>0</v>
      </c>
      <c r="V71" s="41">
        <v>0</v>
      </c>
      <c r="W71" s="41">
        <v>100</v>
      </c>
      <c r="X71" s="30">
        <f>T71*_xlfn.XLOOKUP($A71,tbl_Catalog[sku_id],tbl_Catalog[carton_volume_cbm])</f>
        <v>0</v>
      </c>
      <c r="Y71" s="31">
        <f t="shared" si="12"/>
        <v>49.053391170389588</v>
      </c>
      <c r="Z71" s="47">
        <f t="shared" si="13"/>
        <v>0</v>
      </c>
      <c r="AA71" s="4" t="str">
        <f t="shared" si="14"/>
        <v>SHIELDED</v>
      </c>
      <c r="AB71" s="4" t="str">
        <f>IF(MOD(S71,_xlfn.XLOOKUP($A71,tbl_Catalog[sku_id],tbl_Catalog[master_carton_qty]))=0,"CARTON OK","CHECK")</f>
        <v>CARTON OK</v>
      </c>
    </row>
    <row r="72" spans="1:28" x14ac:dyDescent="0.3">
      <c r="A72" s="36" t="s">
        <v>388</v>
      </c>
      <c r="B72" s="16" t="s">
        <v>293</v>
      </c>
      <c r="C72" s="4" t="s">
        <v>188</v>
      </c>
      <c r="D72" s="41">
        <v>120</v>
      </c>
      <c r="E72" s="42">
        <f t="shared" si="10"/>
        <v>120</v>
      </c>
      <c r="F72" s="31">
        <v>144.46</v>
      </c>
      <c r="G72" s="31">
        <v>230.05</v>
      </c>
      <c r="H72" s="43">
        <f t="shared" si="11"/>
        <v>230.05</v>
      </c>
      <c r="I72" s="32">
        <v>0</v>
      </c>
      <c r="J72" s="4" t="b">
        <v>1</v>
      </c>
      <c r="K72" s="39">
        <v>0.93330000000000002</v>
      </c>
      <c r="L72" s="30">
        <v>1.2416</v>
      </c>
      <c r="M72" s="41">
        <v>6.95</v>
      </c>
      <c r="N72" s="44">
        <v>7</v>
      </c>
      <c r="O72" s="41">
        <v>20.07</v>
      </c>
      <c r="P72" s="41">
        <v>39.67</v>
      </c>
      <c r="Q72" s="41">
        <v>2</v>
      </c>
      <c r="R72" s="45">
        <v>0</v>
      </c>
      <c r="S72" s="46">
        <f>MIN(R72,Q72)*_xlfn.XLOOKUP($A72,tbl_Catalog[sku_id],tbl_Catalog[master_carton_qty])</f>
        <v>0</v>
      </c>
      <c r="T72" s="41">
        <f>IF(_xlfn.XLOOKUP($A72,tbl_Catalog[sku_id],tbl_Catalog[master_carton_qty])&gt;0,S72/_xlfn.XLOOKUP($A72,tbl_Catalog[sku_id],tbl_Catalog[master_carton_qty]),0)</f>
        <v>0</v>
      </c>
      <c r="U72" s="41">
        <v>0</v>
      </c>
      <c r="V72" s="41">
        <v>0</v>
      </c>
      <c r="W72" s="41">
        <v>0</v>
      </c>
      <c r="X72" s="30">
        <f>T72*_xlfn.XLOOKUP($A72,tbl_Catalog[sku_id],tbl_Catalog[carton_volume_cbm])</f>
        <v>0</v>
      </c>
      <c r="Y72" s="31">
        <f t="shared" si="12"/>
        <v>128.57602057216329</v>
      </c>
      <c r="Z72" s="47">
        <f t="shared" si="13"/>
        <v>0</v>
      </c>
      <c r="AA72" s="4" t="str">
        <f t="shared" si="14"/>
        <v>SHIELDED</v>
      </c>
      <c r="AB72" s="4" t="str">
        <f>IF(MOD(S72,_xlfn.XLOOKUP($A72,tbl_Catalog[sku_id],tbl_Catalog[master_carton_qty]))=0,"CARTON OK","CHECK")</f>
        <v>CARTON OK</v>
      </c>
    </row>
    <row r="73" spans="1:28" x14ac:dyDescent="0.3">
      <c r="A73" s="36" t="s">
        <v>391</v>
      </c>
      <c r="B73" s="16" t="s">
        <v>293</v>
      </c>
      <c r="C73" s="4" t="s">
        <v>179</v>
      </c>
      <c r="D73" s="41">
        <v>43</v>
      </c>
      <c r="E73" s="42">
        <f t="shared" si="10"/>
        <v>43</v>
      </c>
      <c r="F73" s="31">
        <v>37</v>
      </c>
      <c r="G73" s="31">
        <v>69.52</v>
      </c>
      <c r="H73" s="43">
        <f t="shared" si="11"/>
        <v>69.52</v>
      </c>
      <c r="I73" s="32">
        <v>0</v>
      </c>
      <c r="J73" s="4" t="b">
        <v>1</v>
      </c>
      <c r="K73" s="39">
        <v>1.8667</v>
      </c>
      <c r="L73" s="30">
        <v>1.2063999999999999</v>
      </c>
      <c r="M73" s="41">
        <v>11.83</v>
      </c>
      <c r="N73" s="44">
        <v>12</v>
      </c>
      <c r="O73" s="41">
        <v>38.130000000000003</v>
      </c>
      <c r="P73" s="41">
        <v>77.33</v>
      </c>
      <c r="Q73" s="41">
        <v>0</v>
      </c>
      <c r="R73" s="45">
        <v>0</v>
      </c>
      <c r="S73" s="46">
        <f>MIN(R73,Q73)*_xlfn.XLOOKUP($A73,tbl_Catalog[sku_id],tbl_Catalog[master_carton_qty])</f>
        <v>0</v>
      </c>
      <c r="T73" s="41">
        <f>IF(_xlfn.XLOOKUP($A73,tbl_Catalog[sku_id],tbl_Catalog[master_carton_qty])&gt;0,S73/_xlfn.XLOOKUP($A73,tbl_Catalog[sku_id],tbl_Catalog[master_carton_qty]),0)</f>
        <v>0</v>
      </c>
      <c r="U73" s="41">
        <v>0</v>
      </c>
      <c r="V73" s="41">
        <v>0</v>
      </c>
      <c r="W73" s="41">
        <v>0</v>
      </c>
      <c r="X73" s="30">
        <f>T73*_xlfn.XLOOKUP($A73,tbl_Catalog[sku_id],tbl_Catalog[carton_volume_cbm])</f>
        <v>0</v>
      </c>
      <c r="Y73" s="31">
        <f t="shared" si="12"/>
        <v>23.035302941018909</v>
      </c>
      <c r="Z73" s="47">
        <f t="shared" si="13"/>
        <v>0</v>
      </c>
      <c r="AA73" s="4" t="str">
        <f t="shared" si="14"/>
        <v>SHIELDED</v>
      </c>
      <c r="AB73" s="4" t="str">
        <f>IF(MOD(S73,_xlfn.XLOOKUP($A73,tbl_Catalog[sku_id],tbl_Catalog[master_carton_qty]))=0,"CARTON OK","CHECK")</f>
        <v>CARTON OK</v>
      </c>
    </row>
    <row r="74" spans="1:28" x14ac:dyDescent="0.3">
      <c r="A74" s="36" t="s">
        <v>394</v>
      </c>
      <c r="B74" s="16" t="s">
        <v>293</v>
      </c>
      <c r="C74" s="4" t="s">
        <v>188</v>
      </c>
      <c r="D74" s="41">
        <v>36</v>
      </c>
      <c r="E74" s="42">
        <f t="shared" si="10"/>
        <v>36</v>
      </c>
      <c r="F74" s="31">
        <v>106.17</v>
      </c>
      <c r="G74" s="31">
        <v>125.03</v>
      </c>
      <c r="H74" s="43">
        <f t="shared" si="11"/>
        <v>125.03</v>
      </c>
      <c r="I74" s="32">
        <v>0</v>
      </c>
      <c r="J74" s="4" t="b">
        <v>1</v>
      </c>
      <c r="K74" s="39">
        <v>0.4</v>
      </c>
      <c r="L74" s="30">
        <v>0.54</v>
      </c>
      <c r="M74" s="41">
        <v>3.01</v>
      </c>
      <c r="N74" s="44">
        <v>4</v>
      </c>
      <c r="O74" s="41">
        <v>9.6</v>
      </c>
      <c r="P74" s="41">
        <v>18</v>
      </c>
      <c r="Q74" s="41">
        <v>1</v>
      </c>
      <c r="R74" s="45">
        <v>0</v>
      </c>
      <c r="S74" s="46">
        <f>MIN(R74,Q74)*_xlfn.XLOOKUP($A74,tbl_Catalog[sku_id],tbl_Catalog[master_carton_qty])</f>
        <v>0</v>
      </c>
      <c r="T74" s="41">
        <f>IF(_xlfn.XLOOKUP($A74,tbl_Catalog[sku_id],tbl_Catalog[master_carton_qty])&gt;0,S74/_xlfn.XLOOKUP($A74,tbl_Catalog[sku_id],tbl_Catalog[master_carton_qty]),0)</f>
        <v>0</v>
      </c>
      <c r="U74" s="41">
        <v>0</v>
      </c>
      <c r="V74" s="41">
        <v>0</v>
      </c>
      <c r="W74" s="41">
        <v>0</v>
      </c>
      <c r="X74" s="30">
        <f>T74*_xlfn.XLOOKUP($A74,tbl_Catalog[sku_id],tbl_Catalog[carton_volume_cbm])</f>
        <v>0</v>
      </c>
      <c r="Y74" s="31">
        <f t="shared" si="12"/>
        <v>90</v>
      </c>
      <c r="Z74" s="47">
        <f t="shared" si="13"/>
        <v>0</v>
      </c>
      <c r="AA74" s="4" t="str">
        <f t="shared" si="14"/>
        <v>SHIELDED</v>
      </c>
      <c r="AB74" s="4" t="str">
        <f>IF(MOD(S74,_xlfn.XLOOKUP($A74,tbl_Catalog[sku_id],tbl_Catalog[master_carton_qty]))=0,"CARTON OK","CHECK")</f>
        <v>CARTON OK</v>
      </c>
    </row>
    <row r="75" spans="1:28" x14ac:dyDescent="0.3">
      <c r="A75" s="36" t="s">
        <v>397</v>
      </c>
      <c r="B75" s="16" t="s">
        <v>293</v>
      </c>
      <c r="C75" s="4" t="s">
        <v>188</v>
      </c>
      <c r="D75" s="41">
        <v>0</v>
      </c>
      <c r="E75" s="42">
        <f t="shared" si="10"/>
        <v>0</v>
      </c>
      <c r="F75" s="31">
        <v>14.55</v>
      </c>
      <c r="G75" s="31">
        <v>41.94</v>
      </c>
      <c r="H75" s="43">
        <f t="shared" si="11"/>
        <v>41.94</v>
      </c>
      <c r="I75" s="32">
        <v>0</v>
      </c>
      <c r="J75" s="4" t="b">
        <v>1</v>
      </c>
      <c r="K75" s="39">
        <v>0.77790000000000004</v>
      </c>
      <c r="L75" s="30">
        <v>0.88360000000000005</v>
      </c>
      <c r="M75" s="41">
        <v>5.19</v>
      </c>
      <c r="N75" s="44">
        <v>6</v>
      </c>
      <c r="O75" s="41">
        <v>16.89</v>
      </c>
      <c r="P75" s="41">
        <v>33.229999999999997</v>
      </c>
      <c r="Q75" s="41">
        <v>1</v>
      </c>
      <c r="R75" s="45">
        <v>0</v>
      </c>
      <c r="S75" s="46">
        <f>MIN(R75,Q75)*_xlfn.XLOOKUP($A75,tbl_Catalog[sku_id],tbl_Catalog[master_carton_qty])</f>
        <v>0</v>
      </c>
      <c r="T75" s="41">
        <f>IF(_xlfn.XLOOKUP($A75,tbl_Catalog[sku_id],tbl_Catalog[master_carton_qty])&gt;0,S75/_xlfn.XLOOKUP($A75,tbl_Catalog[sku_id],tbl_Catalog[master_carton_qty]),0)</f>
        <v>0</v>
      </c>
      <c r="U75" s="41">
        <v>0</v>
      </c>
      <c r="V75" s="41">
        <v>0</v>
      </c>
      <c r="W75" s="41">
        <v>0</v>
      </c>
      <c r="X75" s="30">
        <f>T75*_xlfn.XLOOKUP($A75,tbl_Catalog[sku_id],tbl_Catalog[carton_volume_cbm])</f>
        <v>0</v>
      </c>
      <c r="Y75" s="31">
        <f t="shared" si="12"/>
        <v>0</v>
      </c>
      <c r="Z75" s="47">
        <f t="shared" si="13"/>
        <v>0</v>
      </c>
      <c r="AA75" s="4" t="str">
        <f t="shared" si="14"/>
        <v>SHIELDED</v>
      </c>
      <c r="AB75" s="4" t="str">
        <f>IF(MOD(S75,_xlfn.XLOOKUP($A75,tbl_Catalog[sku_id],tbl_Catalog[master_carton_qty]))=0,"CARTON OK","CHECK")</f>
        <v>CARTON OK</v>
      </c>
    </row>
    <row r="76" spans="1:28" x14ac:dyDescent="0.3">
      <c r="A76" s="36" t="s">
        <v>400</v>
      </c>
      <c r="B76" s="16" t="s">
        <v>293</v>
      </c>
      <c r="C76" s="4" t="s">
        <v>188</v>
      </c>
      <c r="D76" s="41">
        <v>0</v>
      </c>
      <c r="E76" s="42">
        <f t="shared" si="10"/>
        <v>0</v>
      </c>
      <c r="F76" s="31">
        <v>0</v>
      </c>
      <c r="G76" s="31">
        <v>0</v>
      </c>
      <c r="H76" s="43">
        <f t="shared" si="11"/>
        <v>0</v>
      </c>
      <c r="I76" s="32">
        <v>0</v>
      </c>
      <c r="J76" s="4" t="b">
        <v>1</v>
      </c>
      <c r="K76" s="39">
        <v>0.31430000000000002</v>
      </c>
      <c r="L76" s="30">
        <v>0.20430000000000001</v>
      </c>
      <c r="M76" s="41">
        <v>1.56</v>
      </c>
      <c r="N76" s="44">
        <v>2</v>
      </c>
      <c r="O76" s="41">
        <v>6.4</v>
      </c>
      <c r="P76" s="41">
        <v>13</v>
      </c>
      <c r="Q76" s="41">
        <v>3</v>
      </c>
      <c r="R76" s="45">
        <v>0</v>
      </c>
      <c r="S76" s="46">
        <f>MIN(R76,Q76)*_xlfn.XLOOKUP($A76,tbl_Catalog[sku_id],tbl_Catalog[master_carton_qty])</f>
        <v>0</v>
      </c>
      <c r="T76" s="41">
        <f>IF(_xlfn.XLOOKUP($A76,tbl_Catalog[sku_id],tbl_Catalog[master_carton_qty])&gt;0,S76/_xlfn.XLOOKUP($A76,tbl_Catalog[sku_id],tbl_Catalog[master_carton_qty]),0)</f>
        <v>0</v>
      </c>
      <c r="U76" s="41">
        <v>0</v>
      </c>
      <c r="V76" s="41">
        <v>0</v>
      </c>
      <c r="W76" s="41">
        <v>0</v>
      </c>
      <c r="X76" s="30">
        <f>T76*_xlfn.XLOOKUP($A76,tbl_Catalog[sku_id],tbl_Catalog[carton_volume_cbm])</f>
        <v>0</v>
      </c>
      <c r="Y76" s="31">
        <f t="shared" si="12"/>
        <v>0</v>
      </c>
      <c r="Z76" s="47">
        <f t="shared" si="13"/>
        <v>0</v>
      </c>
      <c r="AA76" s="4" t="str">
        <f t="shared" si="14"/>
        <v>EXEMPT / AUDIT</v>
      </c>
      <c r="AB76" s="4" t="str">
        <f>IF(MOD(S76,_xlfn.XLOOKUP($A76,tbl_Catalog[sku_id],tbl_Catalog[master_carton_qty]))=0,"CARTON OK","CHECK")</f>
        <v>CARTON OK</v>
      </c>
    </row>
    <row r="77" spans="1:28" x14ac:dyDescent="0.3">
      <c r="A77" s="36" t="s">
        <v>403</v>
      </c>
      <c r="B77" s="16" t="s">
        <v>404</v>
      </c>
      <c r="C77" s="4" t="s">
        <v>179</v>
      </c>
      <c r="D77" s="41">
        <v>44</v>
      </c>
      <c r="E77" s="42">
        <f t="shared" si="10"/>
        <v>44</v>
      </c>
      <c r="F77" s="31">
        <v>32.6</v>
      </c>
      <c r="G77" s="31">
        <v>36.369999999999997</v>
      </c>
      <c r="H77" s="43">
        <f t="shared" si="11"/>
        <v>36.369999999999997</v>
      </c>
      <c r="I77" s="32">
        <v>0</v>
      </c>
      <c r="J77" s="4" t="b">
        <v>1</v>
      </c>
      <c r="K77" s="39">
        <v>2.7</v>
      </c>
      <c r="L77" s="30">
        <v>1.8360000000000001</v>
      </c>
      <c r="M77" s="41">
        <v>17.47</v>
      </c>
      <c r="N77" s="44">
        <v>18</v>
      </c>
      <c r="O77" s="41">
        <v>55.8</v>
      </c>
      <c r="P77" s="41">
        <v>112.5</v>
      </c>
      <c r="Q77" s="41">
        <v>0</v>
      </c>
      <c r="R77" s="45">
        <v>2</v>
      </c>
      <c r="S77" s="46">
        <f>MIN(R77,Q77)*_xlfn.XLOOKUP($A77,tbl_Catalog[sku_id],tbl_Catalog[master_carton_qty])</f>
        <v>0</v>
      </c>
      <c r="T77" s="41">
        <f>IF(_xlfn.XLOOKUP($A77,tbl_Catalog[sku_id],tbl_Catalog[master_carton_qty])&gt;0,S77/_xlfn.XLOOKUP($A77,tbl_Catalog[sku_id],tbl_Catalog[master_carton_qty]),0)</f>
        <v>0</v>
      </c>
      <c r="U77" s="41">
        <v>0</v>
      </c>
      <c r="V77" s="41">
        <v>0</v>
      </c>
      <c r="W77" s="41">
        <v>0</v>
      </c>
      <c r="X77" s="30">
        <f>T77*_xlfn.XLOOKUP($A77,tbl_Catalog[sku_id],tbl_Catalog[carton_volume_cbm])</f>
        <v>0</v>
      </c>
      <c r="Y77" s="31">
        <f t="shared" si="12"/>
        <v>16.296296296296294</v>
      </c>
      <c r="Z77" s="47">
        <f t="shared" si="13"/>
        <v>0</v>
      </c>
      <c r="AA77" s="4" t="str">
        <f t="shared" si="14"/>
        <v>SHIELDED</v>
      </c>
      <c r="AB77" s="4" t="str">
        <f>IF(MOD(S77,_xlfn.XLOOKUP($A77,tbl_Catalog[sku_id],tbl_Catalog[master_carton_qty]))=0,"CARTON OK","CHECK")</f>
        <v>CARTON OK</v>
      </c>
    </row>
    <row r="78" spans="1:28" x14ac:dyDescent="0.3">
      <c r="A78" s="36" t="s">
        <v>409</v>
      </c>
      <c r="B78" s="16" t="s">
        <v>404</v>
      </c>
      <c r="C78" s="4" t="s">
        <v>188</v>
      </c>
      <c r="D78" s="41">
        <v>27</v>
      </c>
      <c r="E78" s="42">
        <f t="shared" si="10"/>
        <v>27</v>
      </c>
      <c r="F78" s="31">
        <v>45.78</v>
      </c>
      <c r="G78" s="31">
        <v>52.59</v>
      </c>
      <c r="H78" s="43">
        <f t="shared" si="11"/>
        <v>52.59</v>
      </c>
      <c r="I78" s="32">
        <v>0</v>
      </c>
      <c r="J78" s="4" t="b">
        <v>1</v>
      </c>
      <c r="K78" s="39">
        <v>0.9</v>
      </c>
      <c r="L78" s="30">
        <v>1.0766</v>
      </c>
      <c r="M78" s="41">
        <v>6.22</v>
      </c>
      <c r="N78" s="44">
        <v>7</v>
      </c>
      <c r="O78" s="41">
        <v>19.600000000000001</v>
      </c>
      <c r="P78" s="41">
        <v>38.5</v>
      </c>
      <c r="Q78" s="41">
        <v>0</v>
      </c>
      <c r="R78" s="45">
        <v>0</v>
      </c>
      <c r="S78" s="46">
        <f>MIN(R78,Q78)*_xlfn.XLOOKUP($A78,tbl_Catalog[sku_id],tbl_Catalog[master_carton_qty])</f>
        <v>0</v>
      </c>
      <c r="T78" s="41">
        <f>IF(_xlfn.XLOOKUP($A78,tbl_Catalog[sku_id],tbl_Catalog[master_carton_qty])&gt;0,S78/_xlfn.XLOOKUP($A78,tbl_Catalog[sku_id],tbl_Catalog[master_carton_qty]),0)</f>
        <v>0</v>
      </c>
      <c r="U78" s="41">
        <v>0</v>
      </c>
      <c r="V78" s="41">
        <v>0</v>
      </c>
      <c r="W78" s="41">
        <v>0</v>
      </c>
      <c r="X78" s="30">
        <f>T78*_xlfn.XLOOKUP($A78,tbl_Catalog[sku_id],tbl_Catalog[carton_volume_cbm])</f>
        <v>0</v>
      </c>
      <c r="Y78" s="31">
        <f t="shared" si="12"/>
        <v>30</v>
      </c>
      <c r="Z78" s="47">
        <f t="shared" si="13"/>
        <v>0</v>
      </c>
      <c r="AA78" s="4" t="str">
        <f t="shared" si="14"/>
        <v>SHIELDED</v>
      </c>
      <c r="AB78" s="4" t="str">
        <f>IF(MOD(S78,_xlfn.XLOOKUP($A78,tbl_Catalog[sku_id],tbl_Catalog[master_carton_qty]))=0,"CARTON OK","CHECK")</f>
        <v>CARTON OK</v>
      </c>
    </row>
    <row r="79" spans="1:28" x14ac:dyDescent="0.3">
      <c r="A79" s="36" t="s">
        <v>412</v>
      </c>
      <c r="B79" s="16" t="s">
        <v>404</v>
      </c>
      <c r="C79" s="4" t="s">
        <v>188</v>
      </c>
      <c r="D79" s="41">
        <v>61</v>
      </c>
      <c r="E79" s="42">
        <f t="shared" si="10"/>
        <v>61</v>
      </c>
      <c r="F79" s="31">
        <v>74.66</v>
      </c>
      <c r="G79" s="31">
        <v>64.91</v>
      </c>
      <c r="H79" s="43">
        <f t="shared" si="11"/>
        <v>74.66</v>
      </c>
      <c r="I79" s="32">
        <v>0</v>
      </c>
      <c r="J79" s="4" t="b">
        <v>1</v>
      </c>
      <c r="K79" s="39">
        <v>1.0667</v>
      </c>
      <c r="L79" s="30">
        <v>1.44</v>
      </c>
      <c r="M79" s="41">
        <v>8.0299999999999994</v>
      </c>
      <c r="N79" s="44">
        <v>9</v>
      </c>
      <c r="O79" s="41">
        <v>23.93</v>
      </c>
      <c r="P79" s="41">
        <v>46.33</v>
      </c>
      <c r="Q79" s="41">
        <v>3</v>
      </c>
      <c r="R79" s="45">
        <v>0</v>
      </c>
      <c r="S79" s="46">
        <f>MIN(R79,Q79)*_xlfn.XLOOKUP($A79,tbl_Catalog[sku_id],tbl_Catalog[master_carton_qty])</f>
        <v>0</v>
      </c>
      <c r="T79" s="41">
        <f>IF(_xlfn.XLOOKUP($A79,tbl_Catalog[sku_id],tbl_Catalog[master_carton_qty])&gt;0,S79/_xlfn.XLOOKUP($A79,tbl_Catalog[sku_id],tbl_Catalog[master_carton_qty]),0)</f>
        <v>0</v>
      </c>
      <c r="U79" s="41">
        <v>0</v>
      </c>
      <c r="V79" s="41">
        <v>0</v>
      </c>
      <c r="W79" s="41">
        <v>0</v>
      </c>
      <c r="X79" s="30">
        <f>T79*_xlfn.XLOOKUP($A79,tbl_Catalog[sku_id],tbl_Catalog[carton_volume_cbm])</f>
        <v>0</v>
      </c>
      <c r="Y79" s="31">
        <f t="shared" si="12"/>
        <v>57.185712946470424</v>
      </c>
      <c r="Z79" s="47">
        <f t="shared" si="13"/>
        <v>0</v>
      </c>
      <c r="AA79" s="4" t="str">
        <f t="shared" si="14"/>
        <v>SHIELDED</v>
      </c>
      <c r="AB79" s="4" t="str">
        <f>IF(MOD(S79,_xlfn.XLOOKUP($A79,tbl_Catalog[sku_id],tbl_Catalog[master_carton_qty]))=0,"CARTON OK","CHECK")</f>
        <v>CARTON OK</v>
      </c>
    </row>
    <row r="80" spans="1:28" x14ac:dyDescent="0.3">
      <c r="A80" s="36" t="s">
        <v>415</v>
      </c>
      <c r="B80" s="16" t="s">
        <v>404</v>
      </c>
      <c r="C80" s="4" t="s">
        <v>188</v>
      </c>
      <c r="D80" s="41">
        <v>63</v>
      </c>
      <c r="E80" s="42">
        <f t="shared" si="10"/>
        <v>63</v>
      </c>
      <c r="F80" s="31">
        <v>37.11</v>
      </c>
      <c r="G80" s="31">
        <v>60.67</v>
      </c>
      <c r="H80" s="43">
        <f t="shared" si="11"/>
        <v>60.67</v>
      </c>
      <c r="I80" s="32">
        <v>0</v>
      </c>
      <c r="J80" s="4" t="b">
        <v>1</v>
      </c>
      <c r="K80" s="39">
        <v>0.63329999999999997</v>
      </c>
      <c r="L80" s="30">
        <v>0.75860000000000005</v>
      </c>
      <c r="M80" s="41">
        <v>4.38</v>
      </c>
      <c r="N80" s="44">
        <v>5</v>
      </c>
      <c r="O80" s="41">
        <v>13.87</v>
      </c>
      <c r="P80" s="41">
        <v>27.17</v>
      </c>
      <c r="Q80" s="41">
        <v>1</v>
      </c>
      <c r="R80" s="45">
        <v>0</v>
      </c>
      <c r="S80" s="46">
        <f>MIN(R80,Q80)*_xlfn.XLOOKUP($A80,tbl_Catalog[sku_id],tbl_Catalog[master_carton_qty])</f>
        <v>0</v>
      </c>
      <c r="T80" s="41">
        <f>IF(_xlfn.XLOOKUP($A80,tbl_Catalog[sku_id],tbl_Catalog[master_carton_qty])&gt;0,S80/_xlfn.XLOOKUP($A80,tbl_Catalog[sku_id],tbl_Catalog[master_carton_qty]),0)</f>
        <v>0</v>
      </c>
      <c r="U80" s="41">
        <v>0</v>
      </c>
      <c r="V80" s="41">
        <v>0</v>
      </c>
      <c r="W80" s="41">
        <v>0</v>
      </c>
      <c r="X80" s="30">
        <f>T80*_xlfn.XLOOKUP($A80,tbl_Catalog[sku_id],tbl_Catalog[carton_volume_cbm])</f>
        <v>0</v>
      </c>
      <c r="Y80" s="31">
        <f t="shared" si="12"/>
        <v>99.478919943154906</v>
      </c>
      <c r="Z80" s="47">
        <f t="shared" si="13"/>
        <v>0</v>
      </c>
      <c r="AA80" s="4" t="str">
        <f t="shared" si="14"/>
        <v>SHIELDED</v>
      </c>
      <c r="AB80" s="4" t="str">
        <f>IF(MOD(S80,_xlfn.XLOOKUP($A80,tbl_Catalog[sku_id],tbl_Catalog[master_carton_qty]))=0,"CARTON OK","CHECK")</f>
        <v>CARTON OK</v>
      </c>
    </row>
    <row r="81" spans="1:28" x14ac:dyDescent="0.3">
      <c r="A81" s="36" t="s">
        <v>418</v>
      </c>
      <c r="B81" s="16" t="s">
        <v>404</v>
      </c>
      <c r="C81" s="4" t="s">
        <v>188</v>
      </c>
      <c r="D81" s="41">
        <v>72</v>
      </c>
      <c r="E81" s="42">
        <f t="shared" si="10"/>
        <v>72</v>
      </c>
      <c r="F81" s="31">
        <v>52.37</v>
      </c>
      <c r="G81" s="31">
        <v>56.09</v>
      </c>
      <c r="H81" s="43">
        <f t="shared" si="11"/>
        <v>56.09</v>
      </c>
      <c r="I81" s="32">
        <v>0</v>
      </c>
      <c r="J81" s="4" t="b">
        <v>1</v>
      </c>
      <c r="K81" s="39">
        <v>0.63329999999999997</v>
      </c>
      <c r="L81" s="30">
        <v>0.69430000000000003</v>
      </c>
      <c r="M81" s="41">
        <v>4.13</v>
      </c>
      <c r="N81" s="44">
        <v>5</v>
      </c>
      <c r="O81" s="41">
        <v>13.87</v>
      </c>
      <c r="P81" s="41">
        <v>27.17</v>
      </c>
      <c r="Q81" s="41">
        <v>0</v>
      </c>
      <c r="R81" s="45">
        <v>0</v>
      </c>
      <c r="S81" s="46">
        <f>MIN(R81,Q81)*_xlfn.XLOOKUP($A81,tbl_Catalog[sku_id],tbl_Catalog[master_carton_qty])</f>
        <v>0</v>
      </c>
      <c r="T81" s="41">
        <f>IF(_xlfn.XLOOKUP($A81,tbl_Catalog[sku_id],tbl_Catalog[master_carton_qty])&gt;0,S81/_xlfn.XLOOKUP($A81,tbl_Catalog[sku_id],tbl_Catalog[master_carton_qty]),0)</f>
        <v>0</v>
      </c>
      <c r="U81" s="41">
        <v>0</v>
      </c>
      <c r="V81" s="41">
        <v>0</v>
      </c>
      <c r="W81" s="41">
        <v>0</v>
      </c>
      <c r="X81" s="30">
        <f>T81*_xlfn.XLOOKUP($A81,tbl_Catalog[sku_id],tbl_Catalog[carton_volume_cbm])</f>
        <v>0</v>
      </c>
      <c r="Y81" s="31">
        <f t="shared" si="12"/>
        <v>113.69019422074847</v>
      </c>
      <c r="Z81" s="47">
        <f t="shared" si="13"/>
        <v>0</v>
      </c>
      <c r="AA81" s="4" t="str">
        <f t="shared" si="14"/>
        <v>SHIELDED</v>
      </c>
      <c r="AB81" s="4" t="str">
        <f>IF(MOD(S81,_xlfn.XLOOKUP($A81,tbl_Catalog[sku_id],tbl_Catalog[master_carton_qty]))=0,"CARTON OK","CHECK")</f>
        <v>CARTON OK</v>
      </c>
    </row>
    <row r="82" spans="1:28" x14ac:dyDescent="0.3">
      <c r="A82" s="36" t="s">
        <v>421</v>
      </c>
      <c r="B82" s="16" t="s">
        <v>404</v>
      </c>
      <c r="C82" s="4" t="s">
        <v>188</v>
      </c>
      <c r="D82" s="41">
        <v>0</v>
      </c>
      <c r="E82" s="42">
        <f t="shared" si="10"/>
        <v>0</v>
      </c>
      <c r="F82" s="31">
        <v>0</v>
      </c>
      <c r="G82" s="31">
        <v>0</v>
      </c>
      <c r="H82" s="43">
        <f t="shared" si="11"/>
        <v>0</v>
      </c>
      <c r="I82" s="32">
        <v>0</v>
      </c>
      <c r="J82" s="4" t="b">
        <v>1</v>
      </c>
      <c r="K82" s="39">
        <v>0.38300000000000001</v>
      </c>
      <c r="L82" s="30">
        <v>0.24890000000000001</v>
      </c>
      <c r="M82" s="41">
        <v>1.9</v>
      </c>
      <c r="N82" s="44">
        <v>2</v>
      </c>
      <c r="O82" s="41">
        <v>7.36</v>
      </c>
      <c r="P82" s="41">
        <v>15.4</v>
      </c>
      <c r="Q82" s="41">
        <v>5</v>
      </c>
      <c r="R82" s="45">
        <v>0</v>
      </c>
      <c r="S82" s="46">
        <f>MIN(R82,Q82)*_xlfn.XLOOKUP($A82,tbl_Catalog[sku_id],tbl_Catalog[master_carton_qty])</f>
        <v>0</v>
      </c>
      <c r="T82" s="41">
        <f>IF(_xlfn.XLOOKUP($A82,tbl_Catalog[sku_id],tbl_Catalog[master_carton_qty])&gt;0,S82/_xlfn.XLOOKUP($A82,tbl_Catalog[sku_id],tbl_Catalog[master_carton_qty]),0)</f>
        <v>0</v>
      </c>
      <c r="U82" s="41">
        <v>0</v>
      </c>
      <c r="V82" s="41">
        <v>0</v>
      </c>
      <c r="W82" s="41">
        <v>0</v>
      </c>
      <c r="X82" s="30">
        <f>T82*_xlfn.XLOOKUP($A82,tbl_Catalog[sku_id],tbl_Catalog[carton_volume_cbm])</f>
        <v>0</v>
      </c>
      <c r="Y82" s="31">
        <f t="shared" si="12"/>
        <v>0</v>
      </c>
      <c r="Z82" s="47">
        <f t="shared" si="13"/>
        <v>0</v>
      </c>
      <c r="AA82" s="4" t="str">
        <f t="shared" si="14"/>
        <v>EXEMPT / AUDIT</v>
      </c>
      <c r="AB82" s="4" t="str">
        <f>IF(MOD(S82,_xlfn.XLOOKUP($A82,tbl_Catalog[sku_id],tbl_Catalog[master_carton_qty]))=0,"CARTON OK","CHECK")</f>
        <v>CARTON OK</v>
      </c>
    </row>
    <row r="83" spans="1:28" x14ac:dyDescent="0.3">
      <c r="A83" s="36" t="s">
        <v>424</v>
      </c>
      <c r="B83" s="16" t="s">
        <v>404</v>
      </c>
      <c r="C83" s="4" t="s">
        <v>188</v>
      </c>
      <c r="D83" s="41">
        <v>56</v>
      </c>
      <c r="E83" s="42">
        <f t="shared" si="10"/>
        <v>56</v>
      </c>
      <c r="F83" s="31">
        <v>113.18</v>
      </c>
      <c r="G83" s="31">
        <v>74.09</v>
      </c>
      <c r="H83" s="43">
        <f t="shared" si="11"/>
        <v>113.18</v>
      </c>
      <c r="I83" s="32">
        <v>0</v>
      </c>
      <c r="J83" s="4" t="b">
        <v>1</v>
      </c>
      <c r="K83" s="39">
        <v>0.56669999999999998</v>
      </c>
      <c r="L83" s="30">
        <v>0.76500000000000001</v>
      </c>
      <c r="M83" s="41">
        <v>4.2699999999999996</v>
      </c>
      <c r="N83" s="44">
        <v>5</v>
      </c>
      <c r="O83" s="41">
        <v>12.93</v>
      </c>
      <c r="P83" s="41">
        <v>24.83</v>
      </c>
      <c r="Q83" s="41">
        <v>1</v>
      </c>
      <c r="R83" s="45">
        <v>0</v>
      </c>
      <c r="S83" s="46">
        <f>MIN(R83,Q83)*_xlfn.XLOOKUP($A83,tbl_Catalog[sku_id],tbl_Catalog[master_carton_qty])</f>
        <v>0</v>
      </c>
      <c r="T83" s="41">
        <f>IF(_xlfn.XLOOKUP($A83,tbl_Catalog[sku_id],tbl_Catalog[master_carton_qty])&gt;0,S83/_xlfn.XLOOKUP($A83,tbl_Catalog[sku_id],tbl_Catalog[master_carton_qty]),0)</f>
        <v>0</v>
      </c>
      <c r="U83" s="41">
        <v>0</v>
      </c>
      <c r="V83" s="41">
        <v>0</v>
      </c>
      <c r="W83" s="41">
        <v>0</v>
      </c>
      <c r="X83" s="30">
        <f>T83*_xlfn.XLOOKUP($A83,tbl_Catalog[sku_id],tbl_Catalog[carton_volume_cbm])</f>
        <v>0</v>
      </c>
      <c r="Y83" s="31">
        <f t="shared" si="12"/>
        <v>98.817716604905598</v>
      </c>
      <c r="Z83" s="47">
        <f t="shared" si="13"/>
        <v>0</v>
      </c>
      <c r="AA83" s="4" t="str">
        <f t="shared" si="14"/>
        <v>SHIELDED</v>
      </c>
      <c r="AB83" s="4" t="str">
        <f>IF(MOD(S83,_xlfn.XLOOKUP($A83,tbl_Catalog[sku_id],tbl_Catalog[master_carton_qty]))=0,"CARTON OK","CHECK")</f>
        <v>CARTON OK</v>
      </c>
    </row>
    <row r="84" spans="1:28" x14ac:dyDescent="0.3">
      <c r="A84" s="36" t="s">
        <v>427</v>
      </c>
      <c r="B84" s="16" t="s">
        <v>404</v>
      </c>
      <c r="C84" s="4" t="s">
        <v>188</v>
      </c>
      <c r="D84" s="41">
        <v>0</v>
      </c>
      <c r="E84" s="42">
        <f t="shared" si="10"/>
        <v>0</v>
      </c>
      <c r="F84" s="31">
        <v>0</v>
      </c>
      <c r="G84" s="31">
        <v>18.18</v>
      </c>
      <c r="H84" s="43">
        <f t="shared" si="11"/>
        <v>18.18</v>
      </c>
      <c r="I84" s="32">
        <v>0</v>
      </c>
      <c r="J84" s="4" t="b">
        <v>1</v>
      </c>
      <c r="K84" s="39">
        <v>0.30719999999999997</v>
      </c>
      <c r="L84" s="30">
        <v>0.41470000000000001</v>
      </c>
      <c r="M84" s="41">
        <v>2.31</v>
      </c>
      <c r="N84" s="44">
        <v>3</v>
      </c>
      <c r="O84" s="41">
        <v>7.3</v>
      </c>
      <c r="P84" s="41">
        <v>13.75</v>
      </c>
      <c r="Q84" s="41">
        <v>4</v>
      </c>
      <c r="R84" s="45">
        <v>0</v>
      </c>
      <c r="S84" s="46">
        <f>MIN(R84,Q84)*_xlfn.XLOOKUP($A84,tbl_Catalog[sku_id],tbl_Catalog[master_carton_qty])</f>
        <v>0</v>
      </c>
      <c r="T84" s="41">
        <f>IF(_xlfn.XLOOKUP($A84,tbl_Catalog[sku_id],tbl_Catalog[master_carton_qty])&gt;0,S84/_xlfn.XLOOKUP($A84,tbl_Catalog[sku_id],tbl_Catalog[master_carton_qty]),0)</f>
        <v>0</v>
      </c>
      <c r="U84" s="41">
        <v>0</v>
      </c>
      <c r="V84" s="41">
        <v>0</v>
      </c>
      <c r="W84" s="41">
        <v>0</v>
      </c>
      <c r="X84" s="30">
        <f>T84*_xlfn.XLOOKUP($A84,tbl_Catalog[sku_id],tbl_Catalog[carton_volume_cbm])</f>
        <v>0</v>
      </c>
      <c r="Y84" s="31">
        <f t="shared" si="12"/>
        <v>0</v>
      </c>
      <c r="Z84" s="47">
        <f t="shared" si="13"/>
        <v>0</v>
      </c>
      <c r="AA84" s="4" t="str">
        <f t="shared" si="14"/>
        <v>EXEMPT / AUDIT</v>
      </c>
      <c r="AB84" s="4" t="str">
        <f>IF(MOD(S84,_xlfn.XLOOKUP($A84,tbl_Catalog[sku_id],tbl_Catalog[master_carton_qty]))=0,"CARTON OK","CHECK")</f>
        <v>CARTON OK</v>
      </c>
    </row>
    <row r="85" spans="1:28" x14ac:dyDescent="0.3">
      <c r="A85" s="36" t="s">
        <v>430</v>
      </c>
      <c r="B85" s="16" t="s">
        <v>404</v>
      </c>
      <c r="C85" s="4" t="s">
        <v>188</v>
      </c>
      <c r="D85" s="41">
        <v>0</v>
      </c>
      <c r="E85" s="42">
        <f t="shared" si="10"/>
        <v>0</v>
      </c>
      <c r="F85" s="31">
        <v>0</v>
      </c>
      <c r="G85" s="31">
        <v>0</v>
      </c>
      <c r="H85" s="43">
        <f t="shared" si="11"/>
        <v>0</v>
      </c>
      <c r="I85" s="32">
        <v>0</v>
      </c>
      <c r="J85" s="4" t="b">
        <v>1</v>
      </c>
      <c r="K85" s="39">
        <v>0.34139999999999998</v>
      </c>
      <c r="L85" s="30">
        <v>0.22189999999999999</v>
      </c>
      <c r="M85" s="41">
        <v>1.69</v>
      </c>
      <c r="N85" s="44">
        <v>2</v>
      </c>
      <c r="O85" s="41">
        <v>6.78</v>
      </c>
      <c r="P85" s="41">
        <v>13.95</v>
      </c>
      <c r="Q85" s="41">
        <v>5</v>
      </c>
      <c r="R85" s="45">
        <v>0</v>
      </c>
      <c r="S85" s="46">
        <f>MIN(R85,Q85)*_xlfn.XLOOKUP($A85,tbl_Catalog[sku_id],tbl_Catalog[master_carton_qty])</f>
        <v>0</v>
      </c>
      <c r="T85" s="41">
        <f>IF(_xlfn.XLOOKUP($A85,tbl_Catalog[sku_id],tbl_Catalog[master_carton_qty])&gt;0,S85/_xlfn.XLOOKUP($A85,tbl_Catalog[sku_id],tbl_Catalog[master_carton_qty]),0)</f>
        <v>0</v>
      </c>
      <c r="U85" s="41">
        <v>0</v>
      </c>
      <c r="V85" s="41">
        <v>0</v>
      </c>
      <c r="W85" s="41">
        <v>0</v>
      </c>
      <c r="X85" s="30">
        <f>T85*_xlfn.XLOOKUP($A85,tbl_Catalog[sku_id],tbl_Catalog[carton_volume_cbm])</f>
        <v>0</v>
      </c>
      <c r="Y85" s="31">
        <f t="shared" si="12"/>
        <v>0</v>
      </c>
      <c r="Z85" s="47">
        <f t="shared" si="13"/>
        <v>0</v>
      </c>
      <c r="AA85" s="4" t="str">
        <f t="shared" si="14"/>
        <v>EXEMPT / AUDIT</v>
      </c>
      <c r="AB85" s="4" t="str">
        <f>IF(MOD(S85,_xlfn.XLOOKUP($A85,tbl_Catalog[sku_id],tbl_Catalog[master_carton_qty]))=0,"CARTON OK","CHECK")</f>
        <v>CARTON OK</v>
      </c>
    </row>
    <row r="86" spans="1:28" x14ac:dyDescent="0.3">
      <c r="A86" s="36" t="s">
        <v>433</v>
      </c>
      <c r="B86" s="16" t="s">
        <v>404</v>
      </c>
      <c r="C86" s="4" t="s">
        <v>188</v>
      </c>
      <c r="D86" s="41">
        <v>0</v>
      </c>
      <c r="E86" s="42">
        <f t="shared" si="10"/>
        <v>0</v>
      </c>
      <c r="F86" s="31">
        <v>0</v>
      </c>
      <c r="G86" s="31">
        <v>0</v>
      </c>
      <c r="H86" s="43">
        <f t="shared" si="11"/>
        <v>0</v>
      </c>
      <c r="I86" s="32">
        <v>0</v>
      </c>
      <c r="J86" s="4" t="b">
        <v>1</v>
      </c>
      <c r="K86" s="39">
        <v>0.20610000000000001</v>
      </c>
      <c r="L86" s="30">
        <v>0.13400000000000001</v>
      </c>
      <c r="M86" s="41">
        <v>1.02</v>
      </c>
      <c r="N86" s="44">
        <v>2</v>
      </c>
      <c r="O86" s="41">
        <v>4.8899999999999997</v>
      </c>
      <c r="P86" s="41">
        <v>9.2100000000000009</v>
      </c>
      <c r="Q86" s="41">
        <v>5</v>
      </c>
      <c r="R86" s="45">
        <v>0</v>
      </c>
      <c r="S86" s="46">
        <f>MIN(R86,Q86)*_xlfn.XLOOKUP($A86,tbl_Catalog[sku_id],tbl_Catalog[master_carton_qty])</f>
        <v>0</v>
      </c>
      <c r="T86" s="41">
        <f>IF(_xlfn.XLOOKUP($A86,tbl_Catalog[sku_id],tbl_Catalog[master_carton_qty])&gt;0,S86/_xlfn.XLOOKUP($A86,tbl_Catalog[sku_id],tbl_Catalog[master_carton_qty]),0)</f>
        <v>0</v>
      </c>
      <c r="U86" s="41">
        <v>0</v>
      </c>
      <c r="V86" s="41">
        <v>0</v>
      </c>
      <c r="W86" s="41">
        <v>0</v>
      </c>
      <c r="X86" s="30">
        <f>T86*_xlfn.XLOOKUP($A86,tbl_Catalog[sku_id],tbl_Catalog[carton_volume_cbm])</f>
        <v>0</v>
      </c>
      <c r="Y86" s="31">
        <f t="shared" si="12"/>
        <v>0</v>
      </c>
      <c r="Z86" s="47">
        <f t="shared" si="13"/>
        <v>0</v>
      </c>
      <c r="AA86" s="4" t="str">
        <f t="shared" si="14"/>
        <v>EXEMPT / AUDIT</v>
      </c>
      <c r="AB86" s="4" t="str">
        <f>IF(MOD(S86,_xlfn.XLOOKUP($A86,tbl_Catalog[sku_id],tbl_Catalog[master_carton_qty]))=0,"CARTON OK","CHECK")</f>
        <v>CARTON OK</v>
      </c>
    </row>
    <row r="87" spans="1:28" x14ac:dyDescent="0.3">
      <c r="A87" s="36" t="s">
        <v>436</v>
      </c>
      <c r="B87" s="16" t="s">
        <v>404</v>
      </c>
      <c r="C87" s="4" t="s">
        <v>188</v>
      </c>
      <c r="D87" s="41">
        <v>35</v>
      </c>
      <c r="E87" s="42">
        <f t="shared" si="10"/>
        <v>35</v>
      </c>
      <c r="F87" s="31">
        <v>171.86</v>
      </c>
      <c r="G87" s="31">
        <v>189.5</v>
      </c>
      <c r="H87" s="43">
        <f t="shared" si="11"/>
        <v>189.5</v>
      </c>
      <c r="I87" s="32">
        <v>0</v>
      </c>
      <c r="J87" s="4" t="b">
        <v>1</v>
      </c>
      <c r="K87" s="39">
        <v>0.23330000000000001</v>
      </c>
      <c r="L87" s="30">
        <v>0.315</v>
      </c>
      <c r="M87" s="41">
        <v>1.76</v>
      </c>
      <c r="N87" s="44">
        <v>2</v>
      </c>
      <c r="O87" s="41">
        <v>5.27</v>
      </c>
      <c r="P87" s="41">
        <v>10.17</v>
      </c>
      <c r="Q87" s="41">
        <v>3</v>
      </c>
      <c r="R87" s="45">
        <v>0</v>
      </c>
      <c r="S87" s="46">
        <f>MIN(R87,Q87)*_xlfn.XLOOKUP($A87,tbl_Catalog[sku_id],tbl_Catalog[master_carton_qty])</f>
        <v>0</v>
      </c>
      <c r="T87" s="41">
        <f>IF(_xlfn.XLOOKUP($A87,tbl_Catalog[sku_id],tbl_Catalog[master_carton_qty])&gt;0,S87/_xlfn.XLOOKUP($A87,tbl_Catalog[sku_id],tbl_Catalog[master_carton_qty]),0)</f>
        <v>0</v>
      </c>
      <c r="U87" s="41">
        <v>0</v>
      </c>
      <c r="V87" s="41">
        <v>0</v>
      </c>
      <c r="W87" s="41">
        <v>0</v>
      </c>
      <c r="X87" s="30">
        <f>T87*_xlfn.XLOOKUP($A87,tbl_Catalog[sku_id],tbl_Catalog[carton_volume_cbm])</f>
        <v>0</v>
      </c>
      <c r="Y87" s="31">
        <f t="shared" si="12"/>
        <v>150.02143163309043</v>
      </c>
      <c r="Z87" s="47">
        <f t="shared" si="13"/>
        <v>0</v>
      </c>
      <c r="AA87" s="4" t="str">
        <f t="shared" si="14"/>
        <v>SHIELDED</v>
      </c>
      <c r="AB87" s="4" t="str">
        <f>IF(MOD(S87,_xlfn.XLOOKUP($A87,tbl_Catalog[sku_id],tbl_Catalog[master_carton_qty]))=0,"CARTON OK","CHECK")</f>
        <v>CARTON OK</v>
      </c>
    </row>
    <row r="88" spans="1:28" x14ac:dyDescent="0.3">
      <c r="A88" s="36" t="s">
        <v>439</v>
      </c>
      <c r="B88" s="16" t="s">
        <v>404</v>
      </c>
      <c r="C88" s="4" t="s">
        <v>188</v>
      </c>
      <c r="D88" s="41">
        <v>0</v>
      </c>
      <c r="E88" s="42">
        <f t="shared" si="10"/>
        <v>0</v>
      </c>
      <c r="F88" s="31">
        <v>0</v>
      </c>
      <c r="G88" s="31">
        <v>0</v>
      </c>
      <c r="H88" s="43">
        <f t="shared" si="11"/>
        <v>0</v>
      </c>
      <c r="I88" s="32">
        <v>0</v>
      </c>
      <c r="J88" s="4" t="b">
        <v>1</v>
      </c>
      <c r="K88" s="39">
        <v>0.10730000000000001</v>
      </c>
      <c r="L88" s="30">
        <v>6.9699999999999998E-2</v>
      </c>
      <c r="M88" s="41">
        <v>0.53</v>
      </c>
      <c r="N88" s="44">
        <v>1</v>
      </c>
      <c r="O88" s="41">
        <v>2.5</v>
      </c>
      <c r="P88" s="41">
        <v>4.76</v>
      </c>
      <c r="Q88" s="41">
        <v>5</v>
      </c>
      <c r="R88" s="45">
        <v>0</v>
      </c>
      <c r="S88" s="46">
        <f>MIN(R88,Q88)*_xlfn.XLOOKUP($A88,tbl_Catalog[sku_id],tbl_Catalog[master_carton_qty])</f>
        <v>0</v>
      </c>
      <c r="T88" s="41">
        <f>IF(_xlfn.XLOOKUP($A88,tbl_Catalog[sku_id],tbl_Catalog[master_carton_qty])&gt;0,S88/_xlfn.XLOOKUP($A88,tbl_Catalog[sku_id],tbl_Catalog[master_carton_qty]),0)</f>
        <v>0</v>
      </c>
      <c r="U88" s="41">
        <v>0</v>
      </c>
      <c r="V88" s="41">
        <v>0</v>
      </c>
      <c r="W88" s="41">
        <v>0</v>
      </c>
      <c r="X88" s="30">
        <f>T88*_xlfn.XLOOKUP($A88,tbl_Catalog[sku_id],tbl_Catalog[carton_volume_cbm])</f>
        <v>0</v>
      </c>
      <c r="Y88" s="31">
        <f t="shared" si="12"/>
        <v>0</v>
      </c>
      <c r="Z88" s="47">
        <f t="shared" si="13"/>
        <v>0</v>
      </c>
      <c r="AA88" s="4" t="str">
        <f t="shared" si="14"/>
        <v>EXEMPT / AUDIT</v>
      </c>
      <c r="AB88" s="4" t="str">
        <f>IF(MOD(S88,_xlfn.XLOOKUP($A88,tbl_Catalog[sku_id],tbl_Catalog[master_carton_qty]))=0,"CARTON OK","CHECK")</f>
        <v>CARTON OK</v>
      </c>
    </row>
    <row r="89" spans="1:28" x14ac:dyDescent="0.3">
      <c r="A89" s="36" t="s">
        <v>442</v>
      </c>
      <c r="B89" s="16" t="s">
        <v>404</v>
      </c>
      <c r="C89" s="4" t="s">
        <v>221</v>
      </c>
      <c r="D89" s="41">
        <v>52</v>
      </c>
      <c r="E89" s="42">
        <f t="shared" si="10"/>
        <v>52</v>
      </c>
      <c r="F89" s="31">
        <v>17.41</v>
      </c>
      <c r="G89" s="31">
        <v>26.23</v>
      </c>
      <c r="H89" s="43">
        <f t="shared" si="11"/>
        <v>26.23</v>
      </c>
      <c r="I89" s="32">
        <v>0.32</v>
      </c>
      <c r="J89" s="4" t="b">
        <v>0</v>
      </c>
      <c r="K89" s="39">
        <v>30.9</v>
      </c>
      <c r="L89" s="30">
        <v>9.1739999999999995</v>
      </c>
      <c r="M89" s="41">
        <v>203.04</v>
      </c>
      <c r="N89" s="44">
        <v>989</v>
      </c>
      <c r="O89" s="41">
        <v>1421.6</v>
      </c>
      <c r="P89" s="41">
        <v>2070.5</v>
      </c>
      <c r="Q89" s="41">
        <v>0</v>
      </c>
      <c r="R89" s="45">
        <v>41</v>
      </c>
      <c r="S89" s="46">
        <f>MIN(R89,Q89)*_xlfn.XLOOKUP($A89,tbl_Catalog[sku_id],tbl_Catalog[master_carton_qty])</f>
        <v>0</v>
      </c>
      <c r="T89" s="41">
        <f>IF(_xlfn.XLOOKUP($A89,tbl_Catalog[sku_id],tbl_Catalog[master_carton_qty])&gt;0,S89/_xlfn.XLOOKUP($A89,tbl_Catalog[sku_id],tbl_Catalog[master_carton_qty]),0)</f>
        <v>0</v>
      </c>
      <c r="U89" s="41">
        <v>0</v>
      </c>
      <c r="V89" s="41">
        <v>0</v>
      </c>
      <c r="W89" s="41">
        <v>0</v>
      </c>
      <c r="X89" s="30">
        <f>T89*_xlfn.XLOOKUP($A89,tbl_Catalog[sku_id],tbl_Catalog[carton_volume_cbm])</f>
        <v>0</v>
      </c>
      <c r="Y89" s="31">
        <f t="shared" si="12"/>
        <v>1.6828478964401294</v>
      </c>
      <c r="Z89" s="47">
        <f t="shared" si="13"/>
        <v>0</v>
      </c>
      <c r="AA89" s="4" t="str">
        <f t="shared" si="14"/>
        <v>LOW-INVENTORY FEE ACTIVE</v>
      </c>
      <c r="AB89" s="4" t="str">
        <f>IF(MOD(S89,_xlfn.XLOOKUP($A89,tbl_Catalog[sku_id],tbl_Catalog[master_carton_qty]))=0,"CARTON OK","CHECK")</f>
        <v>CARTON OK</v>
      </c>
    </row>
    <row r="90" spans="1:28" x14ac:dyDescent="0.3">
      <c r="A90" s="36" t="s">
        <v>445</v>
      </c>
      <c r="B90" s="16" t="s">
        <v>404</v>
      </c>
      <c r="C90" s="4" t="s">
        <v>172</v>
      </c>
      <c r="D90" s="41">
        <v>565</v>
      </c>
      <c r="E90" s="42">
        <f t="shared" si="10"/>
        <v>565</v>
      </c>
      <c r="F90" s="31">
        <v>45.29</v>
      </c>
      <c r="G90" s="31">
        <v>27.7</v>
      </c>
      <c r="H90" s="43">
        <f t="shared" si="11"/>
        <v>45.29</v>
      </c>
      <c r="I90" s="32">
        <v>0</v>
      </c>
      <c r="J90" s="4" t="b">
        <v>0</v>
      </c>
      <c r="K90" s="39">
        <v>18.4483</v>
      </c>
      <c r="L90" s="30">
        <v>8.2446999999999999</v>
      </c>
      <c r="M90" s="41">
        <v>119.18</v>
      </c>
      <c r="N90" s="44">
        <v>591</v>
      </c>
      <c r="O90" s="41">
        <v>849.28</v>
      </c>
      <c r="P90" s="41">
        <v>1236.69</v>
      </c>
      <c r="Q90" s="41">
        <v>0</v>
      </c>
      <c r="R90" s="45">
        <v>14</v>
      </c>
      <c r="S90" s="46">
        <f>MIN(R90,Q90)*_xlfn.XLOOKUP($A90,tbl_Catalog[sku_id],tbl_Catalog[master_carton_qty])</f>
        <v>0</v>
      </c>
      <c r="T90" s="41">
        <f>IF(_xlfn.XLOOKUP($A90,tbl_Catalog[sku_id],tbl_Catalog[master_carton_qty])&gt;0,S90/_xlfn.XLOOKUP($A90,tbl_Catalog[sku_id],tbl_Catalog[master_carton_qty]),0)</f>
        <v>0</v>
      </c>
      <c r="U90" s="41">
        <v>0</v>
      </c>
      <c r="V90" s="41">
        <v>0</v>
      </c>
      <c r="W90" s="41">
        <v>0</v>
      </c>
      <c r="X90" s="30">
        <f>T90*_xlfn.XLOOKUP($A90,tbl_Catalog[sku_id],tbl_Catalog[carton_volume_cbm])</f>
        <v>0</v>
      </c>
      <c r="Y90" s="31">
        <f t="shared" si="12"/>
        <v>30.626128152729521</v>
      </c>
      <c r="Z90" s="47">
        <f t="shared" si="13"/>
        <v>0</v>
      </c>
      <c r="AA90" s="4" t="str">
        <f t="shared" si="14"/>
        <v>SHIELDED</v>
      </c>
      <c r="AB90" s="4" t="str">
        <f>IF(MOD(S90,_xlfn.XLOOKUP($A90,tbl_Catalog[sku_id],tbl_Catalog[master_carton_qty]))=0,"CARTON OK","CHECK")</f>
        <v>CARTON OK</v>
      </c>
    </row>
    <row r="91" spans="1:28" x14ac:dyDescent="0.3">
      <c r="A91" s="36" t="s">
        <v>448</v>
      </c>
      <c r="B91" s="16" t="s">
        <v>404</v>
      </c>
      <c r="C91" s="4" t="s">
        <v>221</v>
      </c>
      <c r="D91" s="41">
        <v>464</v>
      </c>
      <c r="E91" s="42">
        <f t="shared" si="10"/>
        <v>464</v>
      </c>
      <c r="F91" s="31">
        <v>17.64</v>
      </c>
      <c r="G91" s="31">
        <v>23.79</v>
      </c>
      <c r="H91" s="43">
        <f t="shared" si="11"/>
        <v>23.79</v>
      </c>
      <c r="I91" s="32">
        <v>0.32</v>
      </c>
      <c r="J91" s="4" t="b">
        <v>0</v>
      </c>
      <c r="K91" s="39">
        <v>31</v>
      </c>
      <c r="L91" s="30">
        <v>8.5542999999999996</v>
      </c>
      <c r="M91" s="41">
        <v>202.02</v>
      </c>
      <c r="N91" s="44">
        <v>992</v>
      </c>
      <c r="O91" s="41">
        <v>1426</v>
      </c>
      <c r="P91" s="41">
        <v>2077</v>
      </c>
      <c r="Q91" s="41">
        <v>31</v>
      </c>
      <c r="R91" s="45">
        <v>33</v>
      </c>
      <c r="S91" s="46">
        <f>MIN(R91,Q91)*_xlfn.XLOOKUP($A91,tbl_Catalog[sku_id],tbl_Catalog[master_carton_qty])</f>
        <v>1550</v>
      </c>
      <c r="T91" s="41">
        <f>IF(_xlfn.XLOOKUP($A91,tbl_Catalog[sku_id],tbl_Catalog[master_carton_qty])&gt;0,S91/_xlfn.XLOOKUP($A91,tbl_Catalog[sku_id],tbl_Catalog[master_carton_qty]),0)</f>
        <v>31</v>
      </c>
      <c r="U91" s="41">
        <v>0</v>
      </c>
      <c r="V91" s="41">
        <v>0</v>
      </c>
      <c r="W91" s="41">
        <v>0</v>
      </c>
      <c r="X91" s="30">
        <f>T91*_xlfn.XLOOKUP($A91,tbl_Catalog[sku_id],tbl_Catalog[carton_volume_cbm])</f>
        <v>1.8599999999999999</v>
      </c>
      <c r="Y91" s="31">
        <f t="shared" si="12"/>
        <v>64.967741935483872</v>
      </c>
      <c r="Z91" s="47">
        <f t="shared" si="13"/>
        <v>496</v>
      </c>
      <c r="AA91" s="4" t="str">
        <f t="shared" si="14"/>
        <v>LOW-INVENTORY FEE ACTIVE</v>
      </c>
      <c r="AB91" s="4" t="str">
        <f>IF(MOD(S91,_xlfn.XLOOKUP($A91,tbl_Catalog[sku_id],tbl_Catalog[master_carton_qty]))=0,"CARTON OK","CHECK")</f>
        <v>CARTON OK</v>
      </c>
    </row>
    <row r="92" spans="1:28" x14ac:dyDescent="0.3">
      <c r="A92" s="36" t="s">
        <v>451</v>
      </c>
      <c r="B92" s="16" t="s">
        <v>404</v>
      </c>
      <c r="C92" s="4" t="s">
        <v>184</v>
      </c>
      <c r="D92" s="41">
        <v>106</v>
      </c>
      <c r="E92" s="42">
        <f t="shared" si="10"/>
        <v>106</v>
      </c>
      <c r="F92" s="31">
        <v>42.88</v>
      </c>
      <c r="G92" s="31">
        <v>46.6</v>
      </c>
      <c r="H92" s="43">
        <f t="shared" si="11"/>
        <v>46.6</v>
      </c>
      <c r="I92" s="32">
        <v>0</v>
      </c>
      <c r="J92" s="4" t="b">
        <v>1</v>
      </c>
      <c r="K92" s="39">
        <v>1.9333</v>
      </c>
      <c r="L92" s="30">
        <v>0.9667</v>
      </c>
      <c r="M92" s="41">
        <v>11.24</v>
      </c>
      <c r="N92" s="44">
        <v>12</v>
      </c>
      <c r="O92" s="41">
        <v>39.07</v>
      </c>
      <c r="P92" s="41">
        <v>79.67</v>
      </c>
      <c r="Q92" s="41">
        <v>3</v>
      </c>
      <c r="R92" s="45">
        <v>0</v>
      </c>
      <c r="S92" s="46">
        <f>MIN(R92,Q92)*_xlfn.XLOOKUP($A92,tbl_Catalog[sku_id],tbl_Catalog[master_carton_qty])</f>
        <v>0</v>
      </c>
      <c r="T92" s="41">
        <f>IF(_xlfn.XLOOKUP($A92,tbl_Catalog[sku_id],tbl_Catalog[master_carton_qty])&gt;0,S92/_xlfn.XLOOKUP($A92,tbl_Catalog[sku_id],tbl_Catalog[master_carton_qty]),0)</f>
        <v>0</v>
      </c>
      <c r="U92" s="41">
        <v>0</v>
      </c>
      <c r="V92" s="41">
        <v>0</v>
      </c>
      <c r="W92" s="41">
        <v>0</v>
      </c>
      <c r="X92" s="30">
        <f>T92*_xlfn.XLOOKUP($A92,tbl_Catalog[sku_id],tbl_Catalog[carton_volume_cbm])</f>
        <v>0</v>
      </c>
      <c r="Y92" s="31">
        <f t="shared" si="12"/>
        <v>54.828531526405627</v>
      </c>
      <c r="Z92" s="47">
        <f t="shared" si="13"/>
        <v>0</v>
      </c>
      <c r="AA92" s="4" t="str">
        <f t="shared" si="14"/>
        <v>SHIELDED</v>
      </c>
      <c r="AB92" s="4" t="str">
        <f>IF(MOD(S92,_xlfn.XLOOKUP($A92,tbl_Catalog[sku_id],tbl_Catalog[master_carton_qty]))=0,"CARTON OK","CHECK")</f>
        <v>CARTON OK</v>
      </c>
    </row>
    <row r="93" spans="1:28" x14ac:dyDescent="0.3">
      <c r="A93" s="36" t="s">
        <v>454</v>
      </c>
      <c r="B93" s="16" t="s">
        <v>404</v>
      </c>
      <c r="C93" s="4" t="s">
        <v>184</v>
      </c>
      <c r="D93" s="41">
        <v>67</v>
      </c>
      <c r="E93" s="42">
        <f t="shared" si="10"/>
        <v>117</v>
      </c>
      <c r="F93" s="31">
        <v>27.2</v>
      </c>
      <c r="G93" s="31">
        <v>35.08</v>
      </c>
      <c r="H93" s="43">
        <f t="shared" si="11"/>
        <v>35.08</v>
      </c>
      <c r="I93" s="32">
        <v>0</v>
      </c>
      <c r="J93" s="4" t="b">
        <v>1</v>
      </c>
      <c r="K93" s="39">
        <v>2.5</v>
      </c>
      <c r="L93" s="30">
        <v>1.25</v>
      </c>
      <c r="M93" s="41">
        <v>14.54</v>
      </c>
      <c r="N93" s="44">
        <v>15</v>
      </c>
      <c r="O93" s="41">
        <v>50</v>
      </c>
      <c r="P93" s="41">
        <v>102.5</v>
      </c>
      <c r="Q93" s="41">
        <v>0</v>
      </c>
      <c r="R93" s="45">
        <v>0</v>
      </c>
      <c r="S93" s="46">
        <f>MIN(R93,Q93)*_xlfn.XLOOKUP($A93,tbl_Catalog[sku_id],tbl_Catalog[master_carton_qty])</f>
        <v>0</v>
      </c>
      <c r="T93" s="41">
        <f>IF(_xlfn.XLOOKUP($A93,tbl_Catalog[sku_id],tbl_Catalog[master_carton_qty])&gt;0,S93/_xlfn.XLOOKUP($A93,tbl_Catalog[sku_id],tbl_Catalog[master_carton_qty]),0)</f>
        <v>0</v>
      </c>
      <c r="U93" s="41">
        <v>0</v>
      </c>
      <c r="V93" s="41">
        <v>50</v>
      </c>
      <c r="W93" s="41">
        <v>0</v>
      </c>
      <c r="X93" s="30">
        <f>T93*_xlfn.XLOOKUP($A93,tbl_Catalog[sku_id],tbl_Catalog[carton_volume_cbm])</f>
        <v>0</v>
      </c>
      <c r="Y93" s="31">
        <f t="shared" si="12"/>
        <v>46.8</v>
      </c>
      <c r="Z93" s="47">
        <f t="shared" si="13"/>
        <v>0</v>
      </c>
      <c r="AA93" s="4" t="str">
        <f t="shared" si="14"/>
        <v>SHIELDED</v>
      </c>
      <c r="AB93" s="4" t="str">
        <f>IF(MOD(S93,_xlfn.XLOOKUP($A93,tbl_Catalog[sku_id],tbl_Catalog[master_carton_qty]))=0,"CARTON OK","CHECK")</f>
        <v>CARTON OK</v>
      </c>
    </row>
    <row r="94" spans="1:28" x14ac:dyDescent="0.3">
      <c r="A94" s="36" t="s">
        <v>457</v>
      </c>
      <c r="B94" s="16" t="s">
        <v>404</v>
      </c>
      <c r="C94" s="4" t="s">
        <v>188</v>
      </c>
      <c r="D94" s="41">
        <v>45</v>
      </c>
      <c r="E94" s="42">
        <f t="shared" si="10"/>
        <v>95</v>
      </c>
      <c r="F94" s="31">
        <v>48.42</v>
      </c>
      <c r="G94" s="31">
        <v>37.590000000000003</v>
      </c>
      <c r="H94" s="43">
        <f t="shared" si="11"/>
        <v>48.42</v>
      </c>
      <c r="I94" s="32">
        <v>0</v>
      </c>
      <c r="J94" s="4" t="b">
        <v>1</v>
      </c>
      <c r="K94" s="39">
        <v>1.3332999999999999</v>
      </c>
      <c r="L94" s="30">
        <v>1.1778999999999999</v>
      </c>
      <c r="M94" s="41">
        <v>7.63</v>
      </c>
      <c r="N94" s="44">
        <v>8</v>
      </c>
      <c r="O94" s="41">
        <v>26.67</v>
      </c>
      <c r="P94" s="41">
        <v>54.67</v>
      </c>
      <c r="Q94" s="41">
        <v>2</v>
      </c>
      <c r="R94" s="45">
        <v>0</v>
      </c>
      <c r="S94" s="46">
        <f>MIN(R94,Q94)*_xlfn.XLOOKUP($A94,tbl_Catalog[sku_id],tbl_Catalog[master_carton_qty])</f>
        <v>0</v>
      </c>
      <c r="T94" s="41">
        <f>IF(_xlfn.XLOOKUP($A94,tbl_Catalog[sku_id],tbl_Catalog[master_carton_qty])&gt;0,S94/_xlfn.XLOOKUP($A94,tbl_Catalog[sku_id],tbl_Catalog[master_carton_qty]),0)</f>
        <v>0</v>
      </c>
      <c r="U94" s="41">
        <v>0</v>
      </c>
      <c r="V94" s="41">
        <v>50</v>
      </c>
      <c r="W94" s="41">
        <v>0</v>
      </c>
      <c r="X94" s="30">
        <f>T94*_xlfn.XLOOKUP($A94,tbl_Catalog[sku_id],tbl_Catalog[carton_volume_cbm])</f>
        <v>0</v>
      </c>
      <c r="Y94" s="31">
        <f t="shared" si="12"/>
        <v>71.251781294532364</v>
      </c>
      <c r="Z94" s="47">
        <f t="shared" si="13"/>
        <v>0</v>
      </c>
      <c r="AA94" s="4" t="str">
        <f t="shared" si="14"/>
        <v>SHIELDED</v>
      </c>
      <c r="AB94" s="4" t="str">
        <f>IF(MOD(S94,_xlfn.XLOOKUP($A94,tbl_Catalog[sku_id],tbl_Catalog[master_carton_qty]))=0,"CARTON OK","CHECK")</f>
        <v>CARTON OK</v>
      </c>
    </row>
    <row r="95" spans="1:28" x14ac:dyDescent="0.3">
      <c r="A95" s="36" t="s">
        <v>460</v>
      </c>
      <c r="B95" s="16" t="s">
        <v>404</v>
      </c>
      <c r="C95" s="4" t="s">
        <v>179</v>
      </c>
      <c r="D95" s="41">
        <v>171</v>
      </c>
      <c r="E95" s="42">
        <f t="shared" si="10"/>
        <v>171</v>
      </c>
      <c r="F95" s="31">
        <v>45.2</v>
      </c>
      <c r="G95" s="31">
        <v>31.05</v>
      </c>
      <c r="H95" s="43">
        <f t="shared" si="11"/>
        <v>45.2</v>
      </c>
      <c r="I95" s="32">
        <v>0</v>
      </c>
      <c r="J95" s="4" t="b">
        <v>1</v>
      </c>
      <c r="K95" s="39">
        <v>3.0385</v>
      </c>
      <c r="L95" s="30">
        <v>2.0661999999999998</v>
      </c>
      <c r="M95" s="41">
        <v>19.66</v>
      </c>
      <c r="N95" s="44">
        <v>20</v>
      </c>
      <c r="O95" s="41">
        <v>62.54</v>
      </c>
      <c r="P95" s="41">
        <v>126.35</v>
      </c>
      <c r="Q95" s="41">
        <v>0</v>
      </c>
      <c r="R95" s="45">
        <v>0</v>
      </c>
      <c r="S95" s="46">
        <f>MIN(R95,Q95)*_xlfn.XLOOKUP($A95,tbl_Catalog[sku_id],tbl_Catalog[master_carton_qty])</f>
        <v>0</v>
      </c>
      <c r="T95" s="41">
        <f>IF(_xlfn.XLOOKUP($A95,tbl_Catalog[sku_id],tbl_Catalog[master_carton_qty])&gt;0,S95/_xlfn.XLOOKUP($A95,tbl_Catalog[sku_id],tbl_Catalog[master_carton_qty]),0)</f>
        <v>0</v>
      </c>
      <c r="U95" s="41">
        <v>0</v>
      </c>
      <c r="V95" s="41">
        <v>0</v>
      </c>
      <c r="W95" s="41">
        <v>0</v>
      </c>
      <c r="X95" s="30">
        <f>T95*_xlfn.XLOOKUP($A95,tbl_Catalog[sku_id],tbl_Catalog[carton_volume_cbm])</f>
        <v>0</v>
      </c>
      <c r="Y95" s="31">
        <f t="shared" si="12"/>
        <v>56.277768635840054</v>
      </c>
      <c r="Z95" s="47">
        <f t="shared" si="13"/>
        <v>0</v>
      </c>
      <c r="AA95" s="4" t="str">
        <f t="shared" si="14"/>
        <v>SHIELDED</v>
      </c>
      <c r="AB95" s="4" t="str">
        <f>IF(MOD(S95,_xlfn.XLOOKUP($A95,tbl_Catalog[sku_id],tbl_Catalog[master_carton_qty]))=0,"CARTON OK","CHECK")</f>
        <v>CARTON OK</v>
      </c>
    </row>
    <row r="96" spans="1:28" x14ac:dyDescent="0.3">
      <c r="A96" s="36" t="s">
        <v>463</v>
      </c>
      <c r="B96" s="16" t="s">
        <v>404</v>
      </c>
      <c r="C96" s="4" t="s">
        <v>188</v>
      </c>
      <c r="D96" s="41">
        <v>65</v>
      </c>
      <c r="E96" s="42">
        <f t="shared" si="10"/>
        <v>65</v>
      </c>
      <c r="F96" s="31">
        <v>60.17</v>
      </c>
      <c r="G96" s="31">
        <v>41.51</v>
      </c>
      <c r="H96" s="43">
        <f t="shared" si="11"/>
        <v>60.17</v>
      </c>
      <c r="I96" s="32">
        <v>0</v>
      </c>
      <c r="J96" s="4" t="b">
        <v>1</v>
      </c>
      <c r="K96" s="39">
        <v>0.8</v>
      </c>
      <c r="L96" s="30">
        <v>1.08</v>
      </c>
      <c r="M96" s="41">
        <v>6.03</v>
      </c>
      <c r="N96" s="44">
        <v>7</v>
      </c>
      <c r="O96" s="41">
        <v>18.2</v>
      </c>
      <c r="P96" s="41">
        <v>35</v>
      </c>
      <c r="Q96" s="41">
        <v>3</v>
      </c>
      <c r="R96" s="45">
        <v>0</v>
      </c>
      <c r="S96" s="46">
        <f>MIN(R96,Q96)*_xlfn.XLOOKUP($A96,tbl_Catalog[sku_id],tbl_Catalog[master_carton_qty])</f>
        <v>0</v>
      </c>
      <c r="T96" s="41">
        <f>IF(_xlfn.XLOOKUP($A96,tbl_Catalog[sku_id],tbl_Catalog[master_carton_qty])&gt;0,S96/_xlfn.XLOOKUP($A96,tbl_Catalog[sku_id],tbl_Catalog[master_carton_qty]),0)</f>
        <v>0</v>
      </c>
      <c r="U96" s="41">
        <v>0</v>
      </c>
      <c r="V96" s="41">
        <v>0</v>
      </c>
      <c r="W96" s="41">
        <v>0</v>
      </c>
      <c r="X96" s="30">
        <f>T96*_xlfn.XLOOKUP($A96,tbl_Catalog[sku_id],tbl_Catalog[carton_volume_cbm])</f>
        <v>0</v>
      </c>
      <c r="Y96" s="31">
        <f t="shared" si="12"/>
        <v>81.25</v>
      </c>
      <c r="Z96" s="47">
        <f t="shared" si="13"/>
        <v>0</v>
      </c>
      <c r="AA96" s="4" t="str">
        <f t="shared" si="14"/>
        <v>SHIELDED</v>
      </c>
      <c r="AB96" s="4" t="str">
        <f>IF(MOD(S96,_xlfn.XLOOKUP($A96,tbl_Catalog[sku_id],tbl_Catalog[master_carton_qty]))=0,"CARTON OK","CHECK")</f>
        <v>CARTON OK</v>
      </c>
    </row>
    <row r="97" spans="1:28" x14ac:dyDescent="0.3">
      <c r="A97" s="36" t="s">
        <v>466</v>
      </c>
      <c r="B97" s="16" t="s">
        <v>404</v>
      </c>
      <c r="C97" s="4" t="s">
        <v>179</v>
      </c>
      <c r="D97" s="41">
        <v>53</v>
      </c>
      <c r="E97" s="42">
        <f t="shared" si="10"/>
        <v>103</v>
      </c>
      <c r="F97" s="31">
        <v>34.979999999999997</v>
      </c>
      <c r="G97" s="31">
        <v>33</v>
      </c>
      <c r="H97" s="43">
        <f t="shared" si="11"/>
        <v>34.979999999999997</v>
      </c>
      <c r="I97" s="32">
        <v>0</v>
      </c>
      <c r="J97" s="4" t="b">
        <v>0</v>
      </c>
      <c r="K97" s="39">
        <v>2.9</v>
      </c>
      <c r="L97" s="30">
        <v>1.972</v>
      </c>
      <c r="M97" s="41">
        <v>18.77</v>
      </c>
      <c r="N97" s="44">
        <v>93</v>
      </c>
      <c r="O97" s="41">
        <v>133.6</v>
      </c>
      <c r="P97" s="41">
        <v>194.5</v>
      </c>
      <c r="Q97" s="41">
        <v>0</v>
      </c>
      <c r="R97" s="45">
        <v>2</v>
      </c>
      <c r="S97" s="46">
        <f>MIN(R97,Q97)*_xlfn.XLOOKUP($A97,tbl_Catalog[sku_id],tbl_Catalog[master_carton_qty])</f>
        <v>0</v>
      </c>
      <c r="T97" s="41">
        <f>IF(_xlfn.XLOOKUP($A97,tbl_Catalog[sku_id],tbl_Catalog[master_carton_qty])&gt;0,S97/_xlfn.XLOOKUP($A97,tbl_Catalog[sku_id],tbl_Catalog[master_carton_qty]),0)</f>
        <v>0</v>
      </c>
      <c r="U97" s="41">
        <v>0</v>
      </c>
      <c r="V97" s="41">
        <v>50</v>
      </c>
      <c r="W97" s="41">
        <v>0</v>
      </c>
      <c r="X97" s="30">
        <f>T97*_xlfn.XLOOKUP($A97,tbl_Catalog[sku_id],tbl_Catalog[carton_volume_cbm])</f>
        <v>0</v>
      </c>
      <c r="Y97" s="31">
        <f t="shared" si="12"/>
        <v>35.517241379310349</v>
      </c>
      <c r="Z97" s="47">
        <f t="shared" si="13"/>
        <v>0</v>
      </c>
      <c r="AA97" s="4" t="str">
        <f t="shared" si="14"/>
        <v>SHIELDED</v>
      </c>
      <c r="AB97" s="4" t="str">
        <f>IF(MOD(S97,_xlfn.XLOOKUP($A97,tbl_Catalog[sku_id],tbl_Catalog[master_carton_qty]))=0,"CARTON OK","CHECK")</f>
        <v>CARTON OK</v>
      </c>
    </row>
    <row r="98" spans="1:28" x14ac:dyDescent="0.3">
      <c r="A98" s="36" t="s">
        <v>469</v>
      </c>
      <c r="B98" s="16" t="s">
        <v>404</v>
      </c>
      <c r="C98" s="4" t="s">
        <v>188</v>
      </c>
      <c r="D98" s="41">
        <v>59</v>
      </c>
      <c r="E98" s="42">
        <f t="shared" si="10"/>
        <v>59</v>
      </c>
      <c r="F98" s="31">
        <v>111.76</v>
      </c>
      <c r="G98" s="31">
        <v>79.53</v>
      </c>
      <c r="H98" s="43">
        <f t="shared" si="11"/>
        <v>111.76</v>
      </c>
      <c r="I98" s="32">
        <v>0</v>
      </c>
      <c r="J98" s="4" t="b">
        <v>1</v>
      </c>
      <c r="K98" s="39">
        <v>0.56669999999999998</v>
      </c>
      <c r="L98" s="30">
        <v>0.72789999999999999</v>
      </c>
      <c r="M98" s="41">
        <v>4.12</v>
      </c>
      <c r="N98" s="44">
        <v>5</v>
      </c>
      <c r="O98" s="41">
        <v>12.93</v>
      </c>
      <c r="P98" s="41">
        <v>24.83</v>
      </c>
      <c r="Q98" s="41">
        <v>0</v>
      </c>
      <c r="R98" s="45">
        <v>0</v>
      </c>
      <c r="S98" s="46">
        <f>MIN(R98,Q98)*_xlfn.XLOOKUP($A98,tbl_Catalog[sku_id],tbl_Catalog[master_carton_qty])</f>
        <v>0</v>
      </c>
      <c r="T98" s="41">
        <f>IF(_xlfn.XLOOKUP($A98,tbl_Catalog[sku_id],tbl_Catalog[master_carton_qty])&gt;0,S98/_xlfn.XLOOKUP($A98,tbl_Catalog[sku_id],tbl_Catalog[master_carton_qty]),0)</f>
        <v>0</v>
      </c>
      <c r="U98" s="41">
        <v>0</v>
      </c>
      <c r="V98" s="41">
        <v>0</v>
      </c>
      <c r="W98" s="41">
        <v>0</v>
      </c>
      <c r="X98" s="30">
        <f>T98*_xlfn.XLOOKUP($A98,tbl_Catalog[sku_id],tbl_Catalog[carton_volume_cbm])</f>
        <v>0</v>
      </c>
      <c r="Y98" s="31">
        <f t="shared" si="12"/>
        <v>104.11152285159697</v>
      </c>
      <c r="Z98" s="47">
        <f t="shared" si="13"/>
        <v>0</v>
      </c>
      <c r="AA98" s="4" t="str">
        <f t="shared" si="14"/>
        <v>SHIELDED</v>
      </c>
      <c r="AB98" s="4" t="str">
        <f>IF(MOD(S98,_xlfn.XLOOKUP($A98,tbl_Catalog[sku_id],tbl_Catalog[master_carton_qty]))=0,"CARTON OK","CHECK")</f>
        <v>CARTON OK</v>
      </c>
    </row>
    <row r="99" spans="1:28" x14ac:dyDescent="0.3">
      <c r="A99" s="36" t="s">
        <v>472</v>
      </c>
      <c r="B99" s="16" t="s">
        <v>404</v>
      </c>
      <c r="C99" s="4" t="s">
        <v>188</v>
      </c>
      <c r="D99" s="41">
        <v>79</v>
      </c>
      <c r="E99" s="42">
        <f t="shared" si="10"/>
        <v>79</v>
      </c>
      <c r="F99" s="31">
        <v>123.14</v>
      </c>
      <c r="G99" s="31">
        <v>63.63</v>
      </c>
      <c r="H99" s="43">
        <f t="shared" si="11"/>
        <v>123.14</v>
      </c>
      <c r="I99" s="32">
        <v>0</v>
      </c>
      <c r="J99" s="4" t="b">
        <v>1</v>
      </c>
      <c r="K99" s="39">
        <v>0.73329999999999995</v>
      </c>
      <c r="L99" s="30">
        <v>0.94440000000000002</v>
      </c>
      <c r="M99" s="41">
        <v>5.34</v>
      </c>
      <c r="N99" s="44">
        <v>6</v>
      </c>
      <c r="O99" s="41">
        <v>16.27</v>
      </c>
      <c r="P99" s="41">
        <v>31.67</v>
      </c>
      <c r="Q99" s="41">
        <v>3</v>
      </c>
      <c r="R99" s="45">
        <v>0</v>
      </c>
      <c r="S99" s="46">
        <f>MIN(R99,Q99)*_xlfn.XLOOKUP($A99,tbl_Catalog[sku_id],tbl_Catalog[master_carton_qty])</f>
        <v>0</v>
      </c>
      <c r="T99" s="41">
        <f>IF(_xlfn.XLOOKUP($A99,tbl_Catalog[sku_id],tbl_Catalog[master_carton_qty])&gt;0,S99/_xlfn.XLOOKUP($A99,tbl_Catalog[sku_id],tbl_Catalog[master_carton_qty]),0)</f>
        <v>0</v>
      </c>
      <c r="U99" s="41">
        <v>0</v>
      </c>
      <c r="V99" s="41">
        <v>0</v>
      </c>
      <c r="W99" s="41">
        <v>0</v>
      </c>
      <c r="X99" s="30">
        <f>T99*_xlfn.XLOOKUP($A99,tbl_Catalog[sku_id],tbl_Catalog[carton_volume_cbm])</f>
        <v>0</v>
      </c>
      <c r="Y99" s="31">
        <f t="shared" si="12"/>
        <v>107.73216964407474</v>
      </c>
      <c r="Z99" s="47">
        <f t="shared" si="13"/>
        <v>0</v>
      </c>
      <c r="AA99" s="4" t="str">
        <f t="shared" si="14"/>
        <v>SHIELDED</v>
      </c>
      <c r="AB99" s="4" t="str">
        <f>IF(MOD(S99,_xlfn.XLOOKUP($A99,tbl_Catalog[sku_id],tbl_Catalog[master_carton_qty]))=0,"CARTON OK","CHECK")</f>
        <v>CARTON OK</v>
      </c>
    </row>
    <row r="100" spans="1:28" x14ac:dyDescent="0.3">
      <c r="A100" s="36" t="s">
        <v>475</v>
      </c>
      <c r="B100" s="16" t="s">
        <v>404</v>
      </c>
      <c r="C100" s="4" t="s">
        <v>188</v>
      </c>
      <c r="D100" s="41">
        <v>29</v>
      </c>
      <c r="E100" s="42">
        <f t="shared" si="10"/>
        <v>29</v>
      </c>
      <c r="F100" s="31">
        <v>78.849999999999994</v>
      </c>
      <c r="G100" s="31">
        <v>97.06</v>
      </c>
      <c r="H100" s="43">
        <f t="shared" si="11"/>
        <v>97.06</v>
      </c>
      <c r="I100" s="32">
        <v>0</v>
      </c>
      <c r="J100" s="4" t="b">
        <v>1</v>
      </c>
      <c r="K100" s="39">
        <v>0.43330000000000002</v>
      </c>
      <c r="L100" s="30">
        <v>0.58499999999999996</v>
      </c>
      <c r="M100" s="41">
        <v>3.26</v>
      </c>
      <c r="N100" s="44">
        <v>4</v>
      </c>
      <c r="O100" s="41">
        <v>10.07</v>
      </c>
      <c r="P100" s="41">
        <v>19.170000000000002</v>
      </c>
      <c r="Q100" s="41">
        <v>2</v>
      </c>
      <c r="R100" s="45">
        <v>0</v>
      </c>
      <c r="S100" s="46">
        <f>MIN(R100,Q100)*_xlfn.XLOOKUP($A100,tbl_Catalog[sku_id],tbl_Catalog[master_carton_qty])</f>
        <v>0</v>
      </c>
      <c r="T100" s="41">
        <f>IF(_xlfn.XLOOKUP($A100,tbl_Catalog[sku_id],tbl_Catalog[master_carton_qty])&gt;0,S100/_xlfn.XLOOKUP($A100,tbl_Catalog[sku_id],tbl_Catalog[master_carton_qty]),0)</f>
        <v>0</v>
      </c>
      <c r="U100" s="41">
        <v>0</v>
      </c>
      <c r="V100" s="41">
        <v>0</v>
      </c>
      <c r="W100" s="41">
        <v>0</v>
      </c>
      <c r="X100" s="30">
        <f>T100*_xlfn.XLOOKUP($A100,tbl_Catalog[sku_id],tbl_Catalog[carton_volume_cbm])</f>
        <v>0</v>
      </c>
      <c r="Y100" s="31">
        <f t="shared" si="12"/>
        <v>66.928225248095998</v>
      </c>
      <c r="Z100" s="47">
        <f t="shared" si="13"/>
        <v>0</v>
      </c>
      <c r="AA100" s="4" t="str">
        <f t="shared" si="14"/>
        <v>SHIELDED</v>
      </c>
      <c r="AB100" s="4" t="str">
        <f>IF(MOD(S100,_xlfn.XLOOKUP($A100,tbl_Catalog[sku_id],tbl_Catalog[master_carton_qty]))=0,"CARTON OK","CHECK")</f>
        <v>CARTON OK</v>
      </c>
    </row>
    <row r="101" spans="1:28" x14ac:dyDescent="0.3">
      <c r="A101" s="36" t="s">
        <v>478</v>
      </c>
      <c r="B101" s="16" t="s">
        <v>404</v>
      </c>
      <c r="C101" s="4" t="s">
        <v>221</v>
      </c>
      <c r="D101" s="41">
        <v>0</v>
      </c>
      <c r="E101" s="42">
        <f t="shared" ref="E101:E132" si="15">D101+U101+V101+W101</f>
        <v>0</v>
      </c>
      <c r="F101" s="31">
        <v>6.03</v>
      </c>
      <c r="G101" s="31">
        <v>8.1</v>
      </c>
      <c r="H101" s="43">
        <f t="shared" ref="H101:H132" si="16">MAX(F101,G101)</f>
        <v>8.1</v>
      </c>
      <c r="I101" s="32">
        <v>0</v>
      </c>
      <c r="J101" s="4" t="b">
        <v>1</v>
      </c>
      <c r="K101" s="39">
        <v>27.519300000000001</v>
      </c>
      <c r="L101" s="30">
        <v>8.8062000000000005</v>
      </c>
      <c r="M101" s="41">
        <v>182.58</v>
      </c>
      <c r="N101" s="44">
        <v>183</v>
      </c>
      <c r="O101" s="41">
        <v>568.27</v>
      </c>
      <c r="P101" s="41">
        <v>1146.18</v>
      </c>
      <c r="Q101" s="41">
        <v>48</v>
      </c>
      <c r="R101" s="45">
        <v>23</v>
      </c>
      <c r="S101" s="46">
        <f>MIN(R101,Q101)*_xlfn.XLOOKUP($A101,tbl_Catalog[sku_id],tbl_Catalog[master_carton_qty])</f>
        <v>1150</v>
      </c>
      <c r="T101" s="41">
        <f>IF(_xlfn.XLOOKUP($A101,tbl_Catalog[sku_id],tbl_Catalog[master_carton_qty])&gt;0,S101/_xlfn.XLOOKUP($A101,tbl_Catalog[sku_id],tbl_Catalog[master_carton_qty]),0)</f>
        <v>23</v>
      </c>
      <c r="U101" s="41">
        <v>0</v>
      </c>
      <c r="V101" s="41">
        <v>0</v>
      </c>
      <c r="W101" s="41">
        <v>0</v>
      </c>
      <c r="X101" s="30">
        <f>T101*_xlfn.XLOOKUP($A101,tbl_Catalog[sku_id],tbl_Catalog[carton_volume_cbm])</f>
        <v>1.38</v>
      </c>
      <c r="Y101" s="31">
        <f t="shared" ref="Y101:Y132" si="17">IF(K101&gt;0,(E101+S101)/K101,0)</f>
        <v>41.788853640899298</v>
      </c>
      <c r="Z101" s="47">
        <f t="shared" ref="Z101:Z132" si="18">S101*I101</f>
        <v>0</v>
      </c>
      <c r="AA101" s="4" t="str">
        <f t="shared" ref="AA101:AA132" si="19">IF(AND(H101&lt;Fee_Threshold,I101&gt;0),"LOW-INVENTORY FEE ACTIVE",IF(H101&lt;Fee_Threshold,"EXEMPT / AUDIT","SHIELDED"))</f>
        <v>EXEMPT / AUDIT</v>
      </c>
      <c r="AB101" s="4" t="str">
        <f>IF(MOD(S101,_xlfn.XLOOKUP($A101,tbl_Catalog[sku_id],tbl_Catalog[master_carton_qty]))=0,"CARTON OK","CHECK")</f>
        <v>CARTON OK</v>
      </c>
    </row>
    <row r="102" spans="1:28" x14ac:dyDescent="0.3">
      <c r="A102" s="36" t="s">
        <v>481</v>
      </c>
      <c r="B102" s="16" t="s">
        <v>404</v>
      </c>
      <c r="C102" s="4" t="s">
        <v>184</v>
      </c>
      <c r="D102" s="41">
        <v>115</v>
      </c>
      <c r="E102" s="42">
        <f t="shared" si="15"/>
        <v>115</v>
      </c>
      <c r="F102" s="31">
        <v>53.1</v>
      </c>
      <c r="G102" s="31">
        <v>34.11</v>
      </c>
      <c r="H102" s="43">
        <f t="shared" si="16"/>
        <v>53.1</v>
      </c>
      <c r="I102" s="32">
        <v>0</v>
      </c>
      <c r="J102" s="4" t="b">
        <v>1</v>
      </c>
      <c r="K102" s="39">
        <v>2.3144</v>
      </c>
      <c r="L102" s="30">
        <v>1.1572</v>
      </c>
      <c r="M102" s="41">
        <v>13.46</v>
      </c>
      <c r="N102" s="44">
        <v>14</v>
      </c>
      <c r="O102" s="41">
        <v>46.4</v>
      </c>
      <c r="P102" s="41">
        <v>95</v>
      </c>
      <c r="Q102" s="41">
        <v>2</v>
      </c>
      <c r="R102" s="45">
        <v>0</v>
      </c>
      <c r="S102" s="46">
        <f>MIN(R102,Q102)*_xlfn.XLOOKUP($A102,tbl_Catalog[sku_id],tbl_Catalog[master_carton_qty])</f>
        <v>0</v>
      </c>
      <c r="T102" s="41">
        <f>IF(_xlfn.XLOOKUP($A102,tbl_Catalog[sku_id],tbl_Catalog[master_carton_qty])&gt;0,S102/_xlfn.XLOOKUP($A102,tbl_Catalog[sku_id],tbl_Catalog[master_carton_qty]),0)</f>
        <v>0</v>
      </c>
      <c r="U102" s="41">
        <v>0</v>
      </c>
      <c r="V102" s="41">
        <v>0</v>
      </c>
      <c r="W102" s="41">
        <v>0</v>
      </c>
      <c r="X102" s="30">
        <f>T102*_xlfn.XLOOKUP($A102,tbl_Catalog[sku_id],tbl_Catalog[carton_volume_cbm])</f>
        <v>0</v>
      </c>
      <c r="Y102" s="31">
        <f t="shared" si="17"/>
        <v>49.688904251641894</v>
      </c>
      <c r="Z102" s="47">
        <f t="shared" si="18"/>
        <v>0</v>
      </c>
      <c r="AA102" s="4" t="str">
        <f t="shared" si="19"/>
        <v>SHIELDED</v>
      </c>
      <c r="AB102" s="4" t="str">
        <f>IF(MOD(S102,_xlfn.XLOOKUP($A102,tbl_Catalog[sku_id],tbl_Catalog[master_carton_qty]))=0,"CARTON OK","CHECK")</f>
        <v>CARTON OK</v>
      </c>
    </row>
    <row r="103" spans="1:28" x14ac:dyDescent="0.3">
      <c r="A103" s="36" t="s">
        <v>484</v>
      </c>
      <c r="B103" s="16" t="s">
        <v>404</v>
      </c>
      <c r="C103" s="4" t="s">
        <v>172</v>
      </c>
      <c r="D103" s="41">
        <v>722</v>
      </c>
      <c r="E103" s="42">
        <f t="shared" si="15"/>
        <v>922</v>
      </c>
      <c r="F103" s="31">
        <v>18.45</v>
      </c>
      <c r="G103" s="31">
        <v>35.58</v>
      </c>
      <c r="H103" s="43">
        <f t="shared" si="16"/>
        <v>35.58</v>
      </c>
      <c r="I103" s="32">
        <v>0</v>
      </c>
      <c r="J103" s="4" t="b">
        <v>0</v>
      </c>
      <c r="K103" s="39">
        <v>18.5</v>
      </c>
      <c r="L103" s="30">
        <v>7.7314999999999996</v>
      </c>
      <c r="M103" s="41">
        <v>117.73</v>
      </c>
      <c r="N103" s="44">
        <v>592</v>
      </c>
      <c r="O103" s="41">
        <v>851</v>
      </c>
      <c r="P103" s="41">
        <v>1239.5</v>
      </c>
      <c r="Q103" s="41">
        <v>0</v>
      </c>
      <c r="R103" s="45">
        <v>0</v>
      </c>
      <c r="S103" s="46">
        <f>MIN(R103,Q103)*_xlfn.XLOOKUP($A103,tbl_Catalog[sku_id],tbl_Catalog[master_carton_qty])</f>
        <v>0</v>
      </c>
      <c r="T103" s="41">
        <f>IF(_xlfn.XLOOKUP($A103,tbl_Catalog[sku_id],tbl_Catalog[master_carton_qty])&gt;0,S103/_xlfn.XLOOKUP($A103,tbl_Catalog[sku_id],tbl_Catalog[master_carton_qty]),0)</f>
        <v>0</v>
      </c>
      <c r="U103" s="41">
        <v>0</v>
      </c>
      <c r="V103" s="41">
        <v>200</v>
      </c>
      <c r="W103" s="41">
        <v>0</v>
      </c>
      <c r="X103" s="30">
        <f>T103*_xlfn.XLOOKUP($A103,tbl_Catalog[sku_id],tbl_Catalog[carton_volume_cbm])</f>
        <v>0</v>
      </c>
      <c r="Y103" s="31">
        <f t="shared" si="17"/>
        <v>49.837837837837839</v>
      </c>
      <c r="Z103" s="47">
        <f t="shared" si="18"/>
        <v>0</v>
      </c>
      <c r="AA103" s="4" t="str">
        <f t="shared" si="19"/>
        <v>SHIELDED</v>
      </c>
      <c r="AB103" s="4" t="str">
        <f>IF(MOD(S103,_xlfn.XLOOKUP($A103,tbl_Catalog[sku_id],tbl_Catalog[master_carton_qty]))=0,"CARTON OK","CHECK")</f>
        <v>CARTON OK</v>
      </c>
    </row>
    <row r="104" spans="1:28" x14ac:dyDescent="0.3">
      <c r="A104" s="36" t="s">
        <v>487</v>
      </c>
      <c r="B104" s="16" t="s">
        <v>404</v>
      </c>
      <c r="C104" s="4" t="s">
        <v>188</v>
      </c>
      <c r="D104" s="41">
        <v>120</v>
      </c>
      <c r="E104" s="42">
        <f t="shared" si="15"/>
        <v>120</v>
      </c>
      <c r="F104" s="31">
        <v>38.82</v>
      </c>
      <c r="G104" s="31">
        <v>50.04</v>
      </c>
      <c r="H104" s="43">
        <f t="shared" si="16"/>
        <v>50.04</v>
      </c>
      <c r="I104" s="32">
        <v>0</v>
      </c>
      <c r="J104" s="4" t="b">
        <v>1</v>
      </c>
      <c r="K104" s="39">
        <v>2.2332999999999998</v>
      </c>
      <c r="L104" s="30">
        <v>2.7854999999999999</v>
      </c>
      <c r="M104" s="41">
        <v>15.88</v>
      </c>
      <c r="N104" s="44">
        <v>16</v>
      </c>
      <c r="O104" s="41">
        <v>47.27</v>
      </c>
      <c r="P104" s="41">
        <v>94.17</v>
      </c>
      <c r="Q104" s="41">
        <v>0</v>
      </c>
      <c r="R104" s="45">
        <v>0</v>
      </c>
      <c r="S104" s="46">
        <f>MIN(R104,Q104)*_xlfn.XLOOKUP($A104,tbl_Catalog[sku_id],tbl_Catalog[master_carton_qty])</f>
        <v>0</v>
      </c>
      <c r="T104" s="41">
        <f>IF(_xlfn.XLOOKUP($A104,tbl_Catalog[sku_id],tbl_Catalog[master_carton_qty])&gt;0,S104/_xlfn.XLOOKUP($A104,tbl_Catalog[sku_id],tbl_Catalog[master_carton_qty]),0)</f>
        <v>0</v>
      </c>
      <c r="U104" s="41">
        <v>0</v>
      </c>
      <c r="V104" s="41">
        <v>0</v>
      </c>
      <c r="W104" s="41">
        <v>0</v>
      </c>
      <c r="X104" s="30">
        <f>T104*_xlfn.XLOOKUP($A104,tbl_Catalog[sku_id],tbl_Catalog[carton_volume_cbm])</f>
        <v>0</v>
      </c>
      <c r="Y104" s="31">
        <f t="shared" si="17"/>
        <v>53.732145255899347</v>
      </c>
      <c r="Z104" s="47">
        <f t="shared" si="18"/>
        <v>0</v>
      </c>
      <c r="AA104" s="4" t="str">
        <f t="shared" si="19"/>
        <v>SHIELDED</v>
      </c>
      <c r="AB104" s="4" t="str">
        <f>IF(MOD(S104,_xlfn.XLOOKUP($A104,tbl_Catalog[sku_id],tbl_Catalog[master_carton_qty]))=0,"CARTON OK","CHECK")</f>
        <v>CARTON OK</v>
      </c>
    </row>
    <row r="105" spans="1:28" x14ac:dyDescent="0.3">
      <c r="A105" s="36" t="s">
        <v>490</v>
      </c>
      <c r="B105" s="16" t="s">
        <v>404</v>
      </c>
      <c r="C105" s="4" t="s">
        <v>179</v>
      </c>
      <c r="D105" s="41">
        <v>206</v>
      </c>
      <c r="E105" s="42">
        <f t="shared" si="15"/>
        <v>206</v>
      </c>
      <c r="F105" s="31">
        <v>20.32</v>
      </c>
      <c r="G105" s="31">
        <v>41.08</v>
      </c>
      <c r="H105" s="43">
        <f t="shared" si="16"/>
        <v>41.08</v>
      </c>
      <c r="I105" s="32">
        <v>0</v>
      </c>
      <c r="J105" s="4" t="b">
        <v>0</v>
      </c>
      <c r="K105" s="39">
        <v>3.1333000000000002</v>
      </c>
      <c r="L105" s="30">
        <v>2.1307</v>
      </c>
      <c r="M105" s="41">
        <v>20.28</v>
      </c>
      <c r="N105" s="44">
        <v>101</v>
      </c>
      <c r="O105" s="41">
        <v>144.87</v>
      </c>
      <c r="P105" s="41">
        <v>210.67</v>
      </c>
      <c r="Q105" s="41">
        <v>3</v>
      </c>
      <c r="R105" s="45">
        <v>0</v>
      </c>
      <c r="S105" s="46">
        <f>MIN(R105,Q105)*_xlfn.XLOOKUP($A105,tbl_Catalog[sku_id],tbl_Catalog[master_carton_qty])</f>
        <v>0</v>
      </c>
      <c r="T105" s="41">
        <f>IF(_xlfn.XLOOKUP($A105,tbl_Catalog[sku_id],tbl_Catalog[master_carton_qty])&gt;0,S105/_xlfn.XLOOKUP($A105,tbl_Catalog[sku_id],tbl_Catalog[master_carton_qty]),0)</f>
        <v>0</v>
      </c>
      <c r="U105" s="41">
        <v>0</v>
      </c>
      <c r="V105" s="41">
        <v>0</v>
      </c>
      <c r="W105" s="41">
        <v>0</v>
      </c>
      <c r="X105" s="30">
        <f>T105*_xlfn.XLOOKUP($A105,tbl_Catalog[sku_id],tbl_Catalog[carton_volume_cbm])</f>
        <v>0</v>
      </c>
      <c r="Y105" s="31">
        <f t="shared" si="17"/>
        <v>65.745380270002869</v>
      </c>
      <c r="Z105" s="47">
        <f t="shared" si="18"/>
        <v>0</v>
      </c>
      <c r="AA105" s="4" t="str">
        <f t="shared" si="19"/>
        <v>SHIELDED</v>
      </c>
      <c r="AB105" s="4" t="str">
        <f>IF(MOD(S105,_xlfn.XLOOKUP($A105,tbl_Catalog[sku_id],tbl_Catalog[master_carton_qty]))=0,"CARTON OK","CHECK")</f>
        <v>CARTON OK</v>
      </c>
    </row>
    <row r="106" spans="1:28" x14ac:dyDescent="0.3">
      <c r="A106" s="36" t="s">
        <v>493</v>
      </c>
      <c r="B106" s="16" t="s">
        <v>404</v>
      </c>
      <c r="C106" s="4" t="s">
        <v>188</v>
      </c>
      <c r="D106" s="41">
        <v>44</v>
      </c>
      <c r="E106" s="42">
        <f t="shared" si="15"/>
        <v>44</v>
      </c>
      <c r="F106" s="31">
        <v>18.8</v>
      </c>
      <c r="G106" s="31">
        <v>40.909999999999997</v>
      </c>
      <c r="H106" s="43">
        <f t="shared" si="16"/>
        <v>40.909999999999997</v>
      </c>
      <c r="I106" s="32">
        <v>0</v>
      </c>
      <c r="J106" s="4" t="b">
        <v>1</v>
      </c>
      <c r="K106" s="39">
        <v>1</v>
      </c>
      <c r="L106" s="30">
        <v>1.2213000000000001</v>
      </c>
      <c r="M106" s="41">
        <v>7.01</v>
      </c>
      <c r="N106" s="44">
        <v>8</v>
      </c>
      <c r="O106" s="41">
        <v>22</v>
      </c>
      <c r="P106" s="41">
        <v>43</v>
      </c>
      <c r="Q106" s="41">
        <v>4</v>
      </c>
      <c r="R106" s="45">
        <v>0</v>
      </c>
      <c r="S106" s="46">
        <f>MIN(R106,Q106)*_xlfn.XLOOKUP($A106,tbl_Catalog[sku_id],tbl_Catalog[master_carton_qty])</f>
        <v>0</v>
      </c>
      <c r="T106" s="41">
        <f>IF(_xlfn.XLOOKUP($A106,tbl_Catalog[sku_id],tbl_Catalog[master_carton_qty])&gt;0,S106/_xlfn.XLOOKUP($A106,tbl_Catalog[sku_id],tbl_Catalog[master_carton_qty]),0)</f>
        <v>0</v>
      </c>
      <c r="U106" s="41">
        <v>0</v>
      </c>
      <c r="V106" s="41">
        <v>0</v>
      </c>
      <c r="W106" s="41">
        <v>0</v>
      </c>
      <c r="X106" s="30">
        <f>T106*_xlfn.XLOOKUP($A106,tbl_Catalog[sku_id],tbl_Catalog[carton_volume_cbm])</f>
        <v>0</v>
      </c>
      <c r="Y106" s="31">
        <f t="shared" si="17"/>
        <v>44</v>
      </c>
      <c r="Z106" s="47">
        <f t="shared" si="18"/>
        <v>0</v>
      </c>
      <c r="AA106" s="4" t="str">
        <f t="shared" si="19"/>
        <v>SHIELDED</v>
      </c>
      <c r="AB106" s="4" t="str">
        <f>IF(MOD(S106,_xlfn.XLOOKUP($A106,tbl_Catalog[sku_id],tbl_Catalog[master_carton_qty]))=0,"CARTON OK","CHECK")</f>
        <v>CARTON OK</v>
      </c>
    </row>
    <row r="107" spans="1:28" x14ac:dyDescent="0.3">
      <c r="A107" s="36" t="s">
        <v>496</v>
      </c>
      <c r="B107" s="16" t="s">
        <v>404</v>
      </c>
      <c r="C107" s="4" t="s">
        <v>188</v>
      </c>
      <c r="D107" s="41">
        <v>0</v>
      </c>
      <c r="E107" s="42">
        <f t="shared" si="15"/>
        <v>0</v>
      </c>
      <c r="F107" s="31">
        <v>0</v>
      </c>
      <c r="G107" s="31">
        <v>0</v>
      </c>
      <c r="H107" s="43">
        <f t="shared" si="16"/>
        <v>0</v>
      </c>
      <c r="I107" s="32">
        <v>0</v>
      </c>
      <c r="J107" s="4" t="b">
        <v>1</v>
      </c>
      <c r="K107" s="39">
        <v>1.4289000000000001</v>
      </c>
      <c r="L107" s="30">
        <v>0.92879999999999996</v>
      </c>
      <c r="M107" s="41">
        <v>7.07</v>
      </c>
      <c r="N107" s="44">
        <v>8</v>
      </c>
      <c r="O107" s="41">
        <v>28</v>
      </c>
      <c r="P107" s="41">
        <v>58.01</v>
      </c>
      <c r="Q107" s="41">
        <v>4</v>
      </c>
      <c r="R107" s="45">
        <v>2</v>
      </c>
      <c r="S107" s="46">
        <f>MIN(R107,Q107)*_xlfn.XLOOKUP($A107,tbl_Catalog[sku_id],tbl_Catalog[master_carton_qty])</f>
        <v>100</v>
      </c>
      <c r="T107" s="41">
        <f>IF(_xlfn.XLOOKUP($A107,tbl_Catalog[sku_id],tbl_Catalog[master_carton_qty])&gt;0,S107/_xlfn.XLOOKUP($A107,tbl_Catalog[sku_id],tbl_Catalog[master_carton_qty]),0)</f>
        <v>2</v>
      </c>
      <c r="U107" s="41">
        <v>0</v>
      </c>
      <c r="V107" s="41">
        <v>0</v>
      </c>
      <c r="W107" s="41">
        <v>0</v>
      </c>
      <c r="X107" s="30">
        <f>T107*_xlfn.XLOOKUP($A107,tbl_Catalog[sku_id],tbl_Catalog[carton_volume_cbm])</f>
        <v>0.12</v>
      </c>
      <c r="Y107" s="31">
        <f t="shared" si="17"/>
        <v>69.98390370214851</v>
      </c>
      <c r="Z107" s="47">
        <f t="shared" si="18"/>
        <v>0</v>
      </c>
      <c r="AA107" s="4" t="str">
        <f t="shared" si="19"/>
        <v>EXEMPT / AUDIT</v>
      </c>
      <c r="AB107" s="4" t="str">
        <f>IF(MOD(S107,_xlfn.XLOOKUP($A107,tbl_Catalog[sku_id],tbl_Catalog[master_carton_qty]))=0,"CARTON OK","CHECK")</f>
        <v>CARTON OK</v>
      </c>
    </row>
    <row r="108" spans="1:28" x14ac:dyDescent="0.3">
      <c r="A108" s="36" t="s">
        <v>499</v>
      </c>
      <c r="B108" s="16" t="s">
        <v>404</v>
      </c>
      <c r="C108" s="4" t="s">
        <v>188</v>
      </c>
      <c r="D108" s="41">
        <v>9</v>
      </c>
      <c r="E108" s="42">
        <f t="shared" si="15"/>
        <v>59</v>
      </c>
      <c r="F108" s="31">
        <v>25.77</v>
      </c>
      <c r="G108" s="31">
        <v>59.44</v>
      </c>
      <c r="H108" s="43">
        <f t="shared" si="16"/>
        <v>59.44</v>
      </c>
      <c r="I108" s="32">
        <v>0</v>
      </c>
      <c r="J108" s="4" t="b">
        <v>1</v>
      </c>
      <c r="K108" s="39">
        <v>0.86670000000000003</v>
      </c>
      <c r="L108" s="30">
        <v>1.17</v>
      </c>
      <c r="M108" s="41">
        <v>6.53</v>
      </c>
      <c r="N108" s="44">
        <v>7</v>
      </c>
      <c r="O108" s="41">
        <v>19.13</v>
      </c>
      <c r="P108" s="41">
        <v>37.33</v>
      </c>
      <c r="Q108" s="41">
        <v>0</v>
      </c>
      <c r="R108" s="45">
        <v>0</v>
      </c>
      <c r="S108" s="46">
        <f>MIN(R108,Q108)*_xlfn.XLOOKUP($A108,tbl_Catalog[sku_id],tbl_Catalog[master_carton_qty])</f>
        <v>0</v>
      </c>
      <c r="T108" s="41">
        <f>IF(_xlfn.XLOOKUP($A108,tbl_Catalog[sku_id],tbl_Catalog[master_carton_qty])&gt;0,S108/_xlfn.XLOOKUP($A108,tbl_Catalog[sku_id],tbl_Catalog[master_carton_qty]),0)</f>
        <v>0</v>
      </c>
      <c r="U108" s="41">
        <v>0</v>
      </c>
      <c r="V108" s="41">
        <v>50</v>
      </c>
      <c r="W108" s="41">
        <v>0</v>
      </c>
      <c r="X108" s="30">
        <f>T108*_xlfn.XLOOKUP($A108,tbl_Catalog[sku_id],tbl_Catalog[carton_volume_cbm])</f>
        <v>0</v>
      </c>
      <c r="Y108" s="31">
        <f t="shared" si="17"/>
        <v>68.074304834429441</v>
      </c>
      <c r="Z108" s="47">
        <f t="shared" si="18"/>
        <v>0</v>
      </c>
      <c r="AA108" s="4" t="str">
        <f t="shared" si="19"/>
        <v>SHIELDED</v>
      </c>
      <c r="AB108" s="4" t="str">
        <f>IF(MOD(S108,_xlfn.XLOOKUP($A108,tbl_Catalog[sku_id],tbl_Catalog[master_carton_qty]))=0,"CARTON OK","CHECK")</f>
        <v>CARTON OK</v>
      </c>
    </row>
    <row r="109" spans="1:28" x14ac:dyDescent="0.3">
      <c r="A109" s="36" t="s">
        <v>502</v>
      </c>
      <c r="B109" s="16" t="s">
        <v>404</v>
      </c>
      <c r="C109" s="4" t="s">
        <v>188</v>
      </c>
      <c r="D109" s="41">
        <v>39</v>
      </c>
      <c r="E109" s="42">
        <f t="shared" si="15"/>
        <v>139</v>
      </c>
      <c r="F109" s="31">
        <v>18.37</v>
      </c>
      <c r="G109" s="31">
        <v>38.33</v>
      </c>
      <c r="H109" s="43">
        <f t="shared" si="16"/>
        <v>38.33</v>
      </c>
      <c r="I109" s="32">
        <v>0</v>
      </c>
      <c r="J109" s="4" t="b">
        <v>1</v>
      </c>
      <c r="K109" s="39">
        <v>1.3667</v>
      </c>
      <c r="L109" s="30">
        <v>1.7639</v>
      </c>
      <c r="M109" s="41">
        <v>9.9600000000000009</v>
      </c>
      <c r="N109" s="44">
        <v>10</v>
      </c>
      <c r="O109" s="41">
        <v>29.13</v>
      </c>
      <c r="P109" s="41">
        <v>57.83</v>
      </c>
      <c r="Q109" s="41">
        <v>2</v>
      </c>
      <c r="R109" s="45">
        <v>0</v>
      </c>
      <c r="S109" s="46">
        <f>MIN(R109,Q109)*_xlfn.XLOOKUP($A109,tbl_Catalog[sku_id],tbl_Catalog[master_carton_qty])</f>
        <v>0</v>
      </c>
      <c r="T109" s="41">
        <f>IF(_xlfn.XLOOKUP($A109,tbl_Catalog[sku_id],tbl_Catalog[master_carton_qty])&gt;0,S109/_xlfn.XLOOKUP($A109,tbl_Catalog[sku_id],tbl_Catalog[master_carton_qty]),0)</f>
        <v>0</v>
      </c>
      <c r="U109" s="41">
        <v>0</v>
      </c>
      <c r="V109" s="41">
        <v>100</v>
      </c>
      <c r="W109" s="41">
        <v>0</v>
      </c>
      <c r="X109" s="30">
        <f>T109*_xlfn.XLOOKUP($A109,tbl_Catalog[sku_id],tbl_Catalog[carton_volume_cbm])</f>
        <v>0</v>
      </c>
      <c r="Y109" s="31">
        <f t="shared" si="17"/>
        <v>101.70483646740323</v>
      </c>
      <c r="Z109" s="47">
        <f t="shared" si="18"/>
        <v>0</v>
      </c>
      <c r="AA109" s="4" t="str">
        <f t="shared" si="19"/>
        <v>SHIELDED</v>
      </c>
      <c r="AB109" s="4" t="str">
        <f>IF(MOD(S109,_xlfn.XLOOKUP($A109,tbl_Catalog[sku_id],tbl_Catalog[master_carton_qty]))=0,"CARTON OK","CHECK")</f>
        <v>CARTON OK</v>
      </c>
    </row>
    <row r="110" spans="1:28" x14ac:dyDescent="0.3">
      <c r="A110" s="36" t="s">
        <v>505</v>
      </c>
      <c r="B110" s="16" t="s">
        <v>404</v>
      </c>
      <c r="C110" s="4" t="s">
        <v>188</v>
      </c>
      <c r="D110" s="41">
        <v>37</v>
      </c>
      <c r="E110" s="42">
        <f t="shared" si="15"/>
        <v>37</v>
      </c>
      <c r="F110" s="31">
        <v>74.260000000000005</v>
      </c>
      <c r="G110" s="31">
        <v>65.209999999999994</v>
      </c>
      <c r="H110" s="43">
        <f t="shared" si="16"/>
        <v>74.260000000000005</v>
      </c>
      <c r="I110" s="32">
        <v>0</v>
      </c>
      <c r="J110" s="4" t="b">
        <v>1</v>
      </c>
      <c r="K110" s="39">
        <v>0.63329999999999997</v>
      </c>
      <c r="L110" s="30">
        <v>0.85499999999999998</v>
      </c>
      <c r="M110" s="41">
        <v>4.7699999999999996</v>
      </c>
      <c r="N110" s="44">
        <v>5</v>
      </c>
      <c r="O110" s="41">
        <v>13.87</v>
      </c>
      <c r="P110" s="41">
        <v>27.17</v>
      </c>
      <c r="Q110" s="41">
        <v>1</v>
      </c>
      <c r="R110" s="45">
        <v>0</v>
      </c>
      <c r="S110" s="46">
        <f>MIN(R110,Q110)*_xlfn.XLOOKUP($A110,tbl_Catalog[sku_id],tbl_Catalog[master_carton_qty])</f>
        <v>0</v>
      </c>
      <c r="T110" s="41">
        <f>IF(_xlfn.XLOOKUP($A110,tbl_Catalog[sku_id],tbl_Catalog[master_carton_qty])&gt;0,S110/_xlfn.XLOOKUP($A110,tbl_Catalog[sku_id],tbl_Catalog[master_carton_qty]),0)</f>
        <v>0</v>
      </c>
      <c r="U110" s="41">
        <v>0</v>
      </c>
      <c r="V110" s="41">
        <v>0</v>
      </c>
      <c r="W110" s="41">
        <v>0</v>
      </c>
      <c r="X110" s="30">
        <f>T110*_xlfn.XLOOKUP($A110,tbl_Catalog[sku_id],tbl_Catalog[carton_volume_cbm])</f>
        <v>0</v>
      </c>
      <c r="Y110" s="31">
        <f t="shared" si="17"/>
        <v>58.424127585662404</v>
      </c>
      <c r="Z110" s="47">
        <f t="shared" si="18"/>
        <v>0</v>
      </c>
      <c r="AA110" s="4" t="str">
        <f t="shared" si="19"/>
        <v>SHIELDED</v>
      </c>
      <c r="AB110" s="4" t="str">
        <f>IF(MOD(S110,_xlfn.XLOOKUP($A110,tbl_Catalog[sku_id],tbl_Catalog[master_carton_qty]))=0,"CARTON OK","CHECK")</f>
        <v>CARTON OK</v>
      </c>
    </row>
    <row r="111" spans="1:28" x14ac:dyDescent="0.3">
      <c r="A111" s="36" t="s">
        <v>508</v>
      </c>
      <c r="B111" s="16" t="s">
        <v>404</v>
      </c>
      <c r="C111" s="4" t="s">
        <v>188</v>
      </c>
      <c r="D111" s="41">
        <v>53</v>
      </c>
      <c r="E111" s="42">
        <f t="shared" si="15"/>
        <v>53</v>
      </c>
      <c r="F111" s="31">
        <v>62.95</v>
      </c>
      <c r="G111" s="31">
        <v>71.42</v>
      </c>
      <c r="H111" s="43">
        <f t="shared" si="16"/>
        <v>71.42</v>
      </c>
      <c r="I111" s="32">
        <v>0</v>
      </c>
      <c r="J111" s="4" t="b">
        <v>1</v>
      </c>
      <c r="K111" s="39">
        <v>0.66669999999999996</v>
      </c>
      <c r="L111" s="30">
        <v>0.9</v>
      </c>
      <c r="M111" s="41">
        <v>5.0199999999999996</v>
      </c>
      <c r="N111" s="44">
        <v>6</v>
      </c>
      <c r="O111" s="41">
        <v>15.33</v>
      </c>
      <c r="P111" s="41">
        <v>29.33</v>
      </c>
      <c r="Q111" s="41">
        <v>0</v>
      </c>
      <c r="R111" s="45">
        <v>0</v>
      </c>
      <c r="S111" s="46">
        <f>MIN(R111,Q111)*_xlfn.XLOOKUP($A111,tbl_Catalog[sku_id],tbl_Catalog[master_carton_qty])</f>
        <v>0</v>
      </c>
      <c r="T111" s="41">
        <f>IF(_xlfn.XLOOKUP($A111,tbl_Catalog[sku_id],tbl_Catalog[master_carton_qty])&gt;0,S111/_xlfn.XLOOKUP($A111,tbl_Catalog[sku_id],tbl_Catalog[master_carton_qty]),0)</f>
        <v>0</v>
      </c>
      <c r="U111" s="41">
        <v>0</v>
      </c>
      <c r="V111" s="41">
        <v>0</v>
      </c>
      <c r="W111" s="41">
        <v>0</v>
      </c>
      <c r="X111" s="30">
        <f>T111*_xlfn.XLOOKUP($A111,tbl_Catalog[sku_id],tbl_Catalog[carton_volume_cbm])</f>
        <v>0</v>
      </c>
      <c r="Y111" s="31">
        <f t="shared" si="17"/>
        <v>79.496025198740071</v>
      </c>
      <c r="Z111" s="47">
        <f t="shared" si="18"/>
        <v>0</v>
      </c>
      <c r="AA111" s="4" t="str">
        <f t="shared" si="19"/>
        <v>SHIELDED</v>
      </c>
      <c r="AB111" s="4" t="str">
        <f>IF(MOD(S111,_xlfn.XLOOKUP($A111,tbl_Catalog[sku_id],tbl_Catalog[master_carton_qty]))=0,"CARTON OK","CHECK")</f>
        <v>CARTON OK</v>
      </c>
    </row>
    <row r="112" spans="1:28" x14ac:dyDescent="0.3">
      <c r="A112" s="36" t="s">
        <v>511</v>
      </c>
      <c r="B112" s="16" t="s">
        <v>404</v>
      </c>
      <c r="C112" s="4" t="s">
        <v>188</v>
      </c>
      <c r="D112" s="41">
        <v>10</v>
      </c>
      <c r="E112" s="42">
        <f t="shared" si="15"/>
        <v>10</v>
      </c>
      <c r="F112" s="31">
        <v>47.78</v>
      </c>
      <c r="G112" s="31">
        <v>78</v>
      </c>
      <c r="H112" s="43">
        <f t="shared" si="16"/>
        <v>78</v>
      </c>
      <c r="I112" s="32">
        <v>0</v>
      </c>
      <c r="J112" s="4" t="b">
        <v>1</v>
      </c>
      <c r="K112" s="39">
        <v>0.3</v>
      </c>
      <c r="L112" s="30">
        <v>0.40500000000000003</v>
      </c>
      <c r="M112" s="41">
        <v>2.2599999999999998</v>
      </c>
      <c r="N112" s="44">
        <v>3</v>
      </c>
      <c r="O112" s="41">
        <v>7.2</v>
      </c>
      <c r="P112" s="41">
        <v>13.5</v>
      </c>
      <c r="Q112" s="41">
        <v>3</v>
      </c>
      <c r="R112" s="45">
        <v>0</v>
      </c>
      <c r="S112" s="46">
        <f>MIN(R112,Q112)*_xlfn.XLOOKUP($A112,tbl_Catalog[sku_id],tbl_Catalog[master_carton_qty])</f>
        <v>0</v>
      </c>
      <c r="T112" s="41">
        <f>IF(_xlfn.XLOOKUP($A112,tbl_Catalog[sku_id],tbl_Catalog[master_carton_qty])&gt;0,S112/_xlfn.XLOOKUP($A112,tbl_Catalog[sku_id],tbl_Catalog[master_carton_qty]),0)</f>
        <v>0</v>
      </c>
      <c r="U112" s="41">
        <v>0</v>
      </c>
      <c r="V112" s="41">
        <v>0</v>
      </c>
      <c r="W112" s="41">
        <v>0</v>
      </c>
      <c r="X112" s="30">
        <f>T112*_xlfn.XLOOKUP($A112,tbl_Catalog[sku_id],tbl_Catalog[carton_volume_cbm])</f>
        <v>0</v>
      </c>
      <c r="Y112" s="31">
        <f t="shared" si="17"/>
        <v>33.333333333333336</v>
      </c>
      <c r="Z112" s="47">
        <f t="shared" si="18"/>
        <v>0</v>
      </c>
      <c r="AA112" s="4" t="str">
        <f t="shared" si="19"/>
        <v>SHIELDED</v>
      </c>
      <c r="AB112" s="4" t="str">
        <f>IF(MOD(S112,_xlfn.XLOOKUP($A112,tbl_Catalog[sku_id],tbl_Catalog[master_carton_qty]))=0,"CARTON OK","CHECK")</f>
        <v>CARTON OK</v>
      </c>
    </row>
    <row r="113" spans="1:28" x14ac:dyDescent="0.3">
      <c r="A113" s="36" t="s">
        <v>514</v>
      </c>
      <c r="B113" s="16" t="s">
        <v>515</v>
      </c>
      <c r="C113" s="4" t="s">
        <v>184</v>
      </c>
      <c r="D113" s="41">
        <v>183</v>
      </c>
      <c r="E113" s="42">
        <f t="shared" si="15"/>
        <v>183</v>
      </c>
      <c r="F113" s="31">
        <v>35.270000000000003</v>
      </c>
      <c r="G113" s="31">
        <v>34.33</v>
      </c>
      <c r="H113" s="43">
        <f t="shared" si="16"/>
        <v>35.270000000000003</v>
      </c>
      <c r="I113" s="32">
        <v>0</v>
      </c>
      <c r="J113" s="4" t="b">
        <v>0</v>
      </c>
      <c r="K113" s="39">
        <v>5.6333000000000002</v>
      </c>
      <c r="L113" s="30">
        <v>2.5971000000000002</v>
      </c>
      <c r="M113" s="41">
        <v>32.07</v>
      </c>
      <c r="N113" s="44">
        <v>181</v>
      </c>
      <c r="O113" s="41">
        <v>259.87</v>
      </c>
      <c r="P113" s="41">
        <v>378.17</v>
      </c>
      <c r="Q113" s="41">
        <v>0</v>
      </c>
      <c r="R113" s="45">
        <v>2</v>
      </c>
      <c r="S113" s="46">
        <f>MIN(R113,Q113)*_xlfn.XLOOKUP($A113,tbl_Catalog[sku_id],tbl_Catalog[master_carton_qty])</f>
        <v>0</v>
      </c>
      <c r="T113" s="41">
        <f>IF(_xlfn.XLOOKUP($A113,tbl_Catalog[sku_id],tbl_Catalog[master_carton_qty])&gt;0,S113/_xlfn.XLOOKUP($A113,tbl_Catalog[sku_id],tbl_Catalog[master_carton_qty]),0)</f>
        <v>0</v>
      </c>
      <c r="U113" s="41">
        <v>0</v>
      </c>
      <c r="V113" s="41">
        <v>0</v>
      </c>
      <c r="W113" s="41">
        <v>0</v>
      </c>
      <c r="X113" s="30">
        <f>T113*_xlfn.XLOOKUP($A113,tbl_Catalog[sku_id],tbl_Catalog[carton_volume_cbm])</f>
        <v>0</v>
      </c>
      <c r="Y113" s="31">
        <f t="shared" si="17"/>
        <v>32.485399321889474</v>
      </c>
      <c r="Z113" s="47">
        <f t="shared" si="18"/>
        <v>0</v>
      </c>
      <c r="AA113" s="4" t="str">
        <f t="shared" si="19"/>
        <v>SHIELDED</v>
      </c>
      <c r="AB113" s="4" t="str">
        <f>IF(MOD(S113,_xlfn.XLOOKUP($A113,tbl_Catalog[sku_id],tbl_Catalog[master_carton_qty]))=0,"CARTON OK","CHECK")</f>
        <v>CARTON OK</v>
      </c>
    </row>
    <row r="114" spans="1:28" x14ac:dyDescent="0.3">
      <c r="A114" s="36" t="s">
        <v>521</v>
      </c>
      <c r="B114" s="16" t="s">
        <v>515</v>
      </c>
      <c r="C114" s="4" t="s">
        <v>184</v>
      </c>
      <c r="D114" s="41">
        <v>149</v>
      </c>
      <c r="E114" s="42">
        <f t="shared" si="15"/>
        <v>149</v>
      </c>
      <c r="F114" s="31">
        <v>50.08</v>
      </c>
      <c r="G114" s="31">
        <v>48.7</v>
      </c>
      <c r="H114" s="43">
        <f t="shared" si="16"/>
        <v>50.08</v>
      </c>
      <c r="I114" s="32">
        <v>0</v>
      </c>
      <c r="J114" s="4" t="b">
        <v>0</v>
      </c>
      <c r="K114" s="39">
        <v>4.1666999999999996</v>
      </c>
      <c r="L114" s="30">
        <v>2.0832999999999999</v>
      </c>
      <c r="M114" s="41">
        <v>24.23</v>
      </c>
      <c r="N114" s="44">
        <v>134</v>
      </c>
      <c r="O114" s="41">
        <v>192.33</v>
      </c>
      <c r="P114" s="41">
        <v>279.83</v>
      </c>
      <c r="Q114" s="41">
        <v>0</v>
      </c>
      <c r="R114" s="45">
        <v>2</v>
      </c>
      <c r="S114" s="46">
        <f>MIN(R114,Q114)*_xlfn.XLOOKUP($A114,tbl_Catalog[sku_id],tbl_Catalog[master_carton_qty])</f>
        <v>0</v>
      </c>
      <c r="T114" s="41">
        <f>IF(_xlfn.XLOOKUP($A114,tbl_Catalog[sku_id],tbl_Catalog[master_carton_qty])&gt;0,S114/_xlfn.XLOOKUP($A114,tbl_Catalog[sku_id],tbl_Catalog[master_carton_qty]),0)</f>
        <v>0</v>
      </c>
      <c r="U114" s="41">
        <v>0</v>
      </c>
      <c r="V114" s="41">
        <v>0</v>
      </c>
      <c r="W114" s="41">
        <v>0</v>
      </c>
      <c r="X114" s="30">
        <f>T114*_xlfn.XLOOKUP($A114,tbl_Catalog[sku_id],tbl_Catalog[carton_volume_cbm])</f>
        <v>0</v>
      </c>
      <c r="Y114" s="31">
        <f t="shared" si="17"/>
        <v>35.759713922288626</v>
      </c>
      <c r="Z114" s="47">
        <f t="shared" si="18"/>
        <v>0</v>
      </c>
      <c r="AA114" s="4" t="str">
        <f t="shared" si="19"/>
        <v>SHIELDED</v>
      </c>
      <c r="AB114" s="4" t="str">
        <f>IF(MOD(S114,_xlfn.XLOOKUP($A114,tbl_Catalog[sku_id],tbl_Catalog[master_carton_qty]))=0,"CARTON OK","CHECK")</f>
        <v>CARTON OK</v>
      </c>
    </row>
    <row r="115" spans="1:28" x14ac:dyDescent="0.3">
      <c r="A115" s="36" t="s">
        <v>524</v>
      </c>
      <c r="B115" s="16" t="s">
        <v>515</v>
      </c>
      <c r="C115" s="4" t="s">
        <v>184</v>
      </c>
      <c r="D115" s="41">
        <v>133</v>
      </c>
      <c r="E115" s="42">
        <f t="shared" si="15"/>
        <v>333</v>
      </c>
      <c r="F115" s="31">
        <v>46.7</v>
      </c>
      <c r="G115" s="31">
        <v>41.94</v>
      </c>
      <c r="H115" s="43">
        <f t="shared" si="16"/>
        <v>46.7</v>
      </c>
      <c r="I115" s="32">
        <v>0</v>
      </c>
      <c r="J115" s="4" t="b">
        <v>0</v>
      </c>
      <c r="K115" s="39">
        <v>4.3666999999999998</v>
      </c>
      <c r="L115" s="30">
        <v>2.1833</v>
      </c>
      <c r="M115" s="41">
        <v>25.4</v>
      </c>
      <c r="N115" s="44">
        <v>140</v>
      </c>
      <c r="O115" s="41">
        <v>201.13</v>
      </c>
      <c r="P115" s="41">
        <v>292.83</v>
      </c>
      <c r="Q115" s="41">
        <v>0</v>
      </c>
      <c r="R115" s="45">
        <v>0</v>
      </c>
      <c r="S115" s="46">
        <f>MIN(R115,Q115)*_xlfn.XLOOKUP($A115,tbl_Catalog[sku_id],tbl_Catalog[master_carton_qty])</f>
        <v>0</v>
      </c>
      <c r="T115" s="41">
        <f>IF(_xlfn.XLOOKUP($A115,tbl_Catalog[sku_id],tbl_Catalog[master_carton_qty])&gt;0,S115/_xlfn.XLOOKUP($A115,tbl_Catalog[sku_id],tbl_Catalog[master_carton_qty]),0)</f>
        <v>0</v>
      </c>
      <c r="U115" s="41">
        <v>0</v>
      </c>
      <c r="V115" s="41">
        <v>200</v>
      </c>
      <c r="W115" s="41">
        <v>0</v>
      </c>
      <c r="X115" s="30">
        <f>T115*_xlfn.XLOOKUP($A115,tbl_Catalog[sku_id],tbl_Catalog[carton_volume_cbm])</f>
        <v>0</v>
      </c>
      <c r="Y115" s="31">
        <f t="shared" si="17"/>
        <v>76.258959855268287</v>
      </c>
      <c r="Z115" s="47">
        <f t="shared" si="18"/>
        <v>0</v>
      </c>
      <c r="AA115" s="4" t="str">
        <f t="shared" si="19"/>
        <v>SHIELDED</v>
      </c>
      <c r="AB115" s="4" t="str">
        <f>IF(MOD(S115,_xlfn.XLOOKUP($A115,tbl_Catalog[sku_id],tbl_Catalog[master_carton_qty]))=0,"CARTON OK","CHECK")</f>
        <v>CARTON OK</v>
      </c>
    </row>
    <row r="116" spans="1:28" x14ac:dyDescent="0.3">
      <c r="A116" s="36" t="s">
        <v>527</v>
      </c>
      <c r="B116" s="16" t="s">
        <v>515</v>
      </c>
      <c r="C116" s="4" t="s">
        <v>188</v>
      </c>
      <c r="D116" s="41">
        <v>0</v>
      </c>
      <c r="E116" s="42">
        <f t="shared" si="15"/>
        <v>0</v>
      </c>
      <c r="F116" s="31">
        <v>0</v>
      </c>
      <c r="G116" s="31">
        <v>0</v>
      </c>
      <c r="H116" s="43">
        <f t="shared" si="16"/>
        <v>0</v>
      </c>
      <c r="I116" s="32">
        <v>0</v>
      </c>
      <c r="J116" s="4" t="b">
        <v>1</v>
      </c>
      <c r="K116" s="39">
        <v>1.5399</v>
      </c>
      <c r="L116" s="30">
        <v>1.0008999999999999</v>
      </c>
      <c r="M116" s="41">
        <v>7.62</v>
      </c>
      <c r="N116" s="44">
        <v>8</v>
      </c>
      <c r="O116" s="41">
        <v>29.56</v>
      </c>
      <c r="P116" s="41">
        <v>61.9</v>
      </c>
      <c r="Q116" s="41">
        <v>4</v>
      </c>
      <c r="R116" s="45">
        <v>1</v>
      </c>
      <c r="S116" s="46">
        <f>MIN(R116,Q116)*_xlfn.XLOOKUP($A116,tbl_Catalog[sku_id],tbl_Catalog[master_carton_qty])</f>
        <v>100</v>
      </c>
      <c r="T116" s="41">
        <f>IF(_xlfn.XLOOKUP($A116,tbl_Catalog[sku_id],tbl_Catalog[master_carton_qty])&gt;0,S116/_xlfn.XLOOKUP($A116,tbl_Catalog[sku_id],tbl_Catalog[master_carton_qty]),0)</f>
        <v>1</v>
      </c>
      <c r="U116" s="41">
        <v>0</v>
      </c>
      <c r="V116" s="41">
        <v>0</v>
      </c>
      <c r="W116" s="41">
        <v>0</v>
      </c>
      <c r="X116" s="30">
        <f>T116*_xlfn.XLOOKUP($A116,tbl_Catalog[sku_id],tbl_Catalog[carton_volume_cbm])</f>
        <v>0.03</v>
      </c>
      <c r="Y116" s="31">
        <f t="shared" si="17"/>
        <v>64.939281771543605</v>
      </c>
      <c r="Z116" s="47">
        <f t="shared" si="18"/>
        <v>0</v>
      </c>
      <c r="AA116" s="4" t="str">
        <f t="shared" si="19"/>
        <v>EXEMPT / AUDIT</v>
      </c>
      <c r="AB116" s="4" t="str">
        <f>IF(MOD(S116,_xlfn.XLOOKUP($A116,tbl_Catalog[sku_id],tbl_Catalog[master_carton_qty]))=0,"CARTON OK","CHECK")</f>
        <v>CARTON OK</v>
      </c>
    </row>
    <row r="117" spans="1:28" x14ac:dyDescent="0.3">
      <c r="A117" s="36" t="s">
        <v>530</v>
      </c>
      <c r="B117" s="16" t="s">
        <v>515</v>
      </c>
      <c r="C117" s="4" t="s">
        <v>179</v>
      </c>
      <c r="D117" s="41">
        <v>213</v>
      </c>
      <c r="E117" s="42">
        <f t="shared" si="15"/>
        <v>213</v>
      </c>
      <c r="F117" s="31">
        <v>63.99</v>
      </c>
      <c r="G117" s="31">
        <v>62.47</v>
      </c>
      <c r="H117" s="43">
        <f t="shared" si="16"/>
        <v>63.99</v>
      </c>
      <c r="I117" s="32">
        <v>0</v>
      </c>
      <c r="J117" s="4" t="b">
        <v>0</v>
      </c>
      <c r="K117" s="39">
        <v>4.3333000000000004</v>
      </c>
      <c r="L117" s="30">
        <v>2.9466999999999999</v>
      </c>
      <c r="M117" s="41">
        <v>28.04</v>
      </c>
      <c r="N117" s="44">
        <v>139</v>
      </c>
      <c r="O117" s="41">
        <v>199.67</v>
      </c>
      <c r="P117" s="41">
        <v>290.67</v>
      </c>
      <c r="Q117" s="41">
        <v>1</v>
      </c>
      <c r="R117" s="45">
        <v>0</v>
      </c>
      <c r="S117" s="46">
        <f>MIN(R117,Q117)*_xlfn.XLOOKUP($A117,tbl_Catalog[sku_id],tbl_Catalog[master_carton_qty])</f>
        <v>0</v>
      </c>
      <c r="T117" s="41">
        <f>IF(_xlfn.XLOOKUP($A117,tbl_Catalog[sku_id],tbl_Catalog[master_carton_qty])&gt;0,S117/_xlfn.XLOOKUP($A117,tbl_Catalog[sku_id],tbl_Catalog[master_carton_qty]),0)</f>
        <v>0</v>
      </c>
      <c r="U117" s="41">
        <v>0</v>
      </c>
      <c r="V117" s="41">
        <v>0</v>
      </c>
      <c r="W117" s="41">
        <v>0</v>
      </c>
      <c r="X117" s="30">
        <f>T117*_xlfn.XLOOKUP($A117,tbl_Catalog[sku_id],tbl_Catalog[carton_volume_cbm])</f>
        <v>0</v>
      </c>
      <c r="Y117" s="31">
        <f t="shared" si="17"/>
        <v>49.154224263263558</v>
      </c>
      <c r="Z117" s="47">
        <f t="shared" si="18"/>
        <v>0</v>
      </c>
      <c r="AA117" s="4" t="str">
        <f t="shared" si="19"/>
        <v>SHIELDED</v>
      </c>
      <c r="AB117" s="4" t="str">
        <f>IF(MOD(S117,_xlfn.XLOOKUP($A117,tbl_Catalog[sku_id],tbl_Catalog[master_carton_qty]))=0,"CARTON OK","CHECK")</f>
        <v>CARTON OK</v>
      </c>
    </row>
    <row r="118" spans="1:28" x14ac:dyDescent="0.3">
      <c r="A118" s="36" t="s">
        <v>533</v>
      </c>
      <c r="B118" s="16" t="s">
        <v>515</v>
      </c>
      <c r="C118" s="4" t="s">
        <v>188</v>
      </c>
      <c r="D118" s="41">
        <v>90</v>
      </c>
      <c r="E118" s="42">
        <f t="shared" si="15"/>
        <v>90</v>
      </c>
      <c r="F118" s="31">
        <v>94.12</v>
      </c>
      <c r="G118" s="31">
        <v>73.19</v>
      </c>
      <c r="H118" s="43">
        <f t="shared" si="16"/>
        <v>94.12</v>
      </c>
      <c r="I118" s="32">
        <v>0</v>
      </c>
      <c r="J118" s="4" t="b">
        <v>1</v>
      </c>
      <c r="K118" s="39">
        <v>1.1000000000000001</v>
      </c>
      <c r="L118" s="30">
        <v>1.4850000000000001</v>
      </c>
      <c r="M118" s="41">
        <v>8.2799999999999994</v>
      </c>
      <c r="N118" s="44">
        <v>9</v>
      </c>
      <c r="O118" s="41">
        <v>24.4</v>
      </c>
      <c r="P118" s="41">
        <v>47.5</v>
      </c>
      <c r="Q118" s="41">
        <v>2</v>
      </c>
      <c r="R118" s="45">
        <v>0</v>
      </c>
      <c r="S118" s="46">
        <f>MIN(R118,Q118)*_xlfn.XLOOKUP($A118,tbl_Catalog[sku_id],tbl_Catalog[master_carton_qty])</f>
        <v>0</v>
      </c>
      <c r="T118" s="41">
        <f>IF(_xlfn.XLOOKUP($A118,tbl_Catalog[sku_id],tbl_Catalog[master_carton_qty])&gt;0,S118/_xlfn.XLOOKUP($A118,tbl_Catalog[sku_id],tbl_Catalog[master_carton_qty]),0)</f>
        <v>0</v>
      </c>
      <c r="U118" s="41">
        <v>0</v>
      </c>
      <c r="V118" s="41">
        <v>0</v>
      </c>
      <c r="W118" s="41">
        <v>0</v>
      </c>
      <c r="X118" s="30">
        <f>T118*_xlfn.XLOOKUP($A118,tbl_Catalog[sku_id],tbl_Catalog[carton_volume_cbm])</f>
        <v>0</v>
      </c>
      <c r="Y118" s="31">
        <f t="shared" si="17"/>
        <v>81.818181818181813</v>
      </c>
      <c r="Z118" s="47">
        <f t="shared" si="18"/>
        <v>0</v>
      </c>
      <c r="AA118" s="4" t="str">
        <f t="shared" si="19"/>
        <v>SHIELDED</v>
      </c>
      <c r="AB118" s="4" t="str">
        <f>IF(MOD(S118,_xlfn.XLOOKUP($A118,tbl_Catalog[sku_id],tbl_Catalog[master_carton_qty]))=0,"CARTON OK","CHECK")</f>
        <v>CARTON OK</v>
      </c>
    </row>
    <row r="119" spans="1:28" x14ac:dyDescent="0.3">
      <c r="A119" s="36" t="s">
        <v>536</v>
      </c>
      <c r="B119" s="16" t="s">
        <v>515</v>
      </c>
      <c r="C119" s="4" t="s">
        <v>188</v>
      </c>
      <c r="D119" s="41">
        <v>70</v>
      </c>
      <c r="E119" s="42">
        <f t="shared" si="15"/>
        <v>70</v>
      </c>
      <c r="F119" s="31">
        <v>57.46</v>
      </c>
      <c r="G119" s="31">
        <v>61.29</v>
      </c>
      <c r="H119" s="43">
        <f t="shared" si="16"/>
        <v>61.29</v>
      </c>
      <c r="I119" s="32">
        <v>0</v>
      </c>
      <c r="J119" s="4" t="b">
        <v>1</v>
      </c>
      <c r="K119" s="39">
        <v>1.6</v>
      </c>
      <c r="L119" s="30">
        <v>1.9781</v>
      </c>
      <c r="M119" s="41">
        <v>11.31</v>
      </c>
      <c r="N119" s="44">
        <v>12</v>
      </c>
      <c r="O119" s="41">
        <v>34.4</v>
      </c>
      <c r="P119" s="41">
        <v>68</v>
      </c>
      <c r="Q119" s="41">
        <v>2</v>
      </c>
      <c r="R119" s="45">
        <v>0</v>
      </c>
      <c r="S119" s="46">
        <f>MIN(R119,Q119)*_xlfn.XLOOKUP($A119,tbl_Catalog[sku_id],tbl_Catalog[master_carton_qty])</f>
        <v>0</v>
      </c>
      <c r="T119" s="41">
        <f>IF(_xlfn.XLOOKUP($A119,tbl_Catalog[sku_id],tbl_Catalog[master_carton_qty])&gt;0,S119/_xlfn.XLOOKUP($A119,tbl_Catalog[sku_id],tbl_Catalog[master_carton_qty]),0)</f>
        <v>0</v>
      </c>
      <c r="U119" s="41">
        <v>0</v>
      </c>
      <c r="V119" s="41">
        <v>0</v>
      </c>
      <c r="W119" s="41">
        <v>0</v>
      </c>
      <c r="X119" s="30">
        <f>T119*_xlfn.XLOOKUP($A119,tbl_Catalog[sku_id],tbl_Catalog[carton_volume_cbm])</f>
        <v>0</v>
      </c>
      <c r="Y119" s="31">
        <f t="shared" si="17"/>
        <v>43.75</v>
      </c>
      <c r="Z119" s="47">
        <f t="shared" si="18"/>
        <v>0</v>
      </c>
      <c r="AA119" s="4" t="str">
        <f t="shared" si="19"/>
        <v>SHIELDED</v>
      </c>
      <c r="AB119" s="4" t="str">
        <f>IF(MOD(S119,_xlfn.XLOOKUP($A119,tbl_Catalog[sku_id],tbl_Catalog[master_carton_qty]))=0,"CARTON OK","CHECK")</f>
        <v>CARTON OK</v>
      </c>
    </row>
    <row r="120" spans="1:28" x14ac:dyDescent="0.3">
      <c r="A120" s="36" t="s">
        <v>539</v>
      </c>
      <c r="B120" s="16" t="s">
        <v>515</v>
      </c>
      <c r="C120" s="4" t="s">
        <v>188</v>
      </c>
      <c r="D120" s="41">
        <v>45</v>
      </c>
      <c r="E120" s="42">
        <f t="shared" si="15"/>
        <v>45</v>
      </c>
      <c r="F120" s="31">
        <v>55.5</v>
      </c>
      <c r="G120" s="31">
        <v>63.43</v>
      </c>
      <c r="H120" s="43">
        <f t="shared" si="16"/>
        <v>63.43</v>
      </c>
      <c r="I120" s="32">
        <v>0</v>
      </c>
      <c r="J120" s="4" t="b">
        <v>1</v>
      </c>
      <c r="K120" s="39">
        <v>1.0667</v>
      </c>
      <c r="L120" s="30">
        <v>1.44</v>
      </c>
      <c r="M120" s="41">
        <v>8.0299999999999994</v>
      </c>
      <c r="N120" s="44">
        <v>9</v>
      </c>
      <c r="O120" s="41">
        <v>23.93</v>
      </c>
      <c r="P120" s="41">
        <v>46.33</v>
      </c>
      <c r="Q120" s="41">
        <v>3</v>
      </c>
      <c r="R120" s="45">
        <v>0</v>
      </c>
      <c r="S120" s="46">
        <f>MIN(R120,Q120)*_xlfn.XLOOKUP($A120,tbl_Catalog[sku_id],tbl_Catalog[master_carton_qty])</f>
        <v>0</v>
      </c>
      <c r="T120" s="41">
        <f>IF(_xlfn.XLOOKUP($A120,tbl_Catalog[sku_id],tbl_Catalog[master_carton_qty])&gt;0,S120/_xlfn.XLOOKUP($A120,tbl_Catalog[sku_id],tbl_Catalog[master_carton_qty]),0)</f>
        <v>0</v>
      </c>
      <c r="U120" s="41">
        <v>0</v>
      </c>
      <c r="V120" s="41">
        <v>0</v>
      </c>
      <c r="W120" s="41">
        <v>0</v>
      </c>
      <c r="X120" s="30">
        <f>T120*_xlfn.XLOOKUP($A120,tbl_Catalog[sku_id],tbl_Catalog[carton_volume_cbm])</f>
        <v>0</v>
      </c>
      <c r="Y120" s="31">
        <f t="shared" si="17"/>
        <v>42.186181681822447</v>
      </c>
      <c r="Z120" s="47">
        <f t="shared" si="18"/>
        <v>0</v>
      </c>
      <c r="AA120" s="4" t="str">
        <f t="shared" si="19"/>
        <v>SHIELDED</v>
      </c>
      <c r="AB120" s="4" t="str">
        <f>IF(MOD(S120,_xlfn.XLOOKUP($A120,tbl_Catalog[sku_id],tbl_Catalog[master_carton_qty]))=0,"CARTON OK","CHECK")</f>
        <v>CARTON OK</v>
      </c>
    </row>
    <row r="121" spans="1:28" x14ac:dyDescent="0.3">
      <c r="A121" s="36" t="s">
        <v>542</v>
      </c>
      <c r="B121" s="16" t="s">
        <v>515</v>
      </c>
      <c r="C121" s="4" t="s">
        <v>188</v>
      </c>
      <c r="D121" s="41">
        <v>117</v>
      </c>
      <c r="E121" s="42">
        <f t="shared" si="15"/>
        <v>117</v>
      </c>
      <c r="F121" s="31">
        <v>25.51</v>
      </c>
      <c r="G121" s="31">
        <v>66.12</v>
      </c>
      <c r="H121" s="43">
        <f t="shared" si="16"/>
        <v>66.12</v>
      </c>
      <c r="I121" s="32">
        <v>0</v>
      </c>
      <c r="J121" s="4" t="b">
        <v>1</v>
      </c>
      <c r="K121" s="39">
        <v>1.8332999999999999</v>
      </c>
      <c r="L121" s="30">
        <v>2.4750000000000001</v>
      </c>
      <c r="M121" s="41">
        <v>13.81</v>
      </c>
      <c r="N121" s="44">
        <v>14</v>
      </c>
      <c r="O121" s="41">
        <v>39.67</v>
      </c>
      <c r="P121" s="41">
        <v>78.17</v>
      </c>
      <c r="Q121" s="41">
        <v>2</v>
      </c>
      <c r="R121" s="45">
        <v>0</v>
      </c>
      <c r="S121" s="46">
        <f>MIN(R121,Q121)*_xlfn.XLOOKUP($A121,tbl_Catalog[sku_id],tbl_Catalog[master_carton_qty])</f>
        <v>0</v>
      </c>
      <c r="T121" s="41">
        <f>IF(_xlfn.XLOOKUP($A121,tbl_Catalog[sku_id],tbl_Catalog[master_carton_qty])&gt;0,S121/_xlfn.XLOOKUP($A121,tbl_Catalog[sku_id],tbl_Catalog[master_carton_qty]),0)</f>
        <v>0</v>
      </c>
      <c r="U121" s="41">
        <v>0</v>
      </c>
      <c r="V121" s="41">
        <v>0</v>
      </c>
      <c r="W121" s="41">
        <v>0</v>
      </c>
      <c r="X121" s="30">
        <f>T121*_xlfn.XLOOKUP($A121,tbl_Catalog[sku_id],tbl_Catalog[carton_volume_cbm])</f>
        <v>0</v>
      </c>
      <c r="Y121" s="31">
        <f t="shared" si="17"/>
        <v>63.819342169857634</v>
      </c>
      <c r="Z121" s="47">
        <f t="shared" si="18"/>
        <v>0</v>
      </c>
      <c r="AA121" s="4" t="str">
        <f t="shared" si="19"/>
        <v>SHIELDED</v>
      </c>
      <c r="AB121" s="4" t="str">
        <f>IF(MOD(S121,_xlfn.XLOOKUP($A121,tbl_Catalog[sku_id],tbl_Catalog[master_carton_qty]))=0,"CARTON OK","CHECK")</f>
        <v>CARTON OK</v>
      </c>
    </row>
    <row r="122" spans="1:28" x14ac:dyDescent="0.3">
      <c r="A122" s="36" t="s">
        <v>545</v>
      </c>
      <c r="B122" s="16" t="s">
        <v>515</v>
      </c>
      <c r="C122" s="4" t="s">
        <v>188</v>
      </c>
      <c r="D122" s="41">
        <v>0</v>
      </c>
      <c r="E122" s="42">
        <f t="shared" si="15"/>
        <v>0</v>
      </c>
      <c r="F122" s="31">
        <v>2.88</v>
      </c>
      <c r="G122" s="31">
        <v>35.49</v>
      </c>
      <c r="H122" s="43">
        <f t="shared" si="16"/>
        <v>35.49</v>
      </c>
      <c r="I122" s="32">
        <v>0</v>
      </c>
      <c r="J122" s="4" t="b">
        <v>1</v>
      </c>
      <c r="K122" s="39">
        <v>0.92120000000000002</v>
      </c>
      <c r="L122" s="30">
        <v>1.2436</v>
      </c>
      <c r="M122" s="41">
        <v>6.94</v>
      </c>
      <c r="N122" s="44">
        <v>7</v>
      </c>
      <c r="O122" s="41">
        <v>19.899999999999999</v>
      </c>
      <c r="P122" s="41">
        <v>39.24</v>
      </c>
      <c r="Q122" s="41">
        <v>0</v>
      </c>
      <c r="R122" s="45">
        <v>1</v>
      </c>
      <c r="S122" s="46">
        <f>MIN(R122,Q122)*_xlfn.XLOOKUP($A122,tbl_Catalog[sku_id],tbl_Catalog[master_carton_qty])</f>
        <v>0</v>
      </c>
      <c r="T122" s="41">
        <f>IF(_xlfn.XLOOKUP($A122,tbl_Catalog[sku_id],tbl_Catalog[master_carton_qty])&gt;0,S122/_xlfn.XLOOKUP($A122,tbl_Catalog[sku_id],tbl_Catalog[master_carton_qty]),0)</f>
        <v>0</v>
      </c>
      <c r="U122" s="41">
        <v>0</v>
      </c>
      <c r="V122" s="41">
        <v>0</v>
      </c>
      <c r="W122" s="41">
        <v>0</v>
      </c>
      <c r="X122" s="30">
        <f>T122*_xlfn.XLOOKUP($A122,tbl_Catalog[sku_id],tbl_Catalog[carton_volume_cbm])</f>
        <v>0</v>
      </c>
      <c r="Y122" s="31">
        <f t="shared" si="17"/>
        <v>0</v>
      </c>
      <c r="Z122" s="47">
        <f t="shared" si="18"/>
        <v>0</v>
      </c>
      <c r="AA122" s="4" t="str">
        <f t="shared" si="19"/>
        <v>SHIELDED</v>
      </c>
      <c r="AB122" s="4" t="str">
        <f>IF(MOD(S122,_xlfn.XLOOKUP($A122,tbl_Catalog[sku_id],tbl_Catalog[master_carton_qty]))=0,"CARTON OK","CHECK")</f>
        <v>CARTON OK</v>
      </c>
    </row>
    <row r="123" spans="1:28" x14ac:dyDescent="0.3">
      <c r="A123" s="36" t="s">
        <v>548</v>
      </c>
      <c r="B123" s="16" t="s">
        <v>515</v>
      </c>
      <c r="C123" s="4" t="s">
        <v>188</v>
      </c>
      <c r="D123" s="41">
        <v>0</v>
      </c>
      <c r="E123" s="42">
        <f t="shared" si="15"/>
        <v>0</v>
      </c>
      <c r="F123" s="31">
        <v>0</v>
      </c>
      <c r="G123" s="31">
        <v>23.17</v>
      </c>
      <c r="H123" s="43">
        <f t="shared" si="16"/>
        <v>23.17</v>
      </c>
      <c r="I123" s="32">
        <v>0</v>
      </c>
      <c r="J123" s="4" t="b">
        <v>1</v>
      </c>
      <c r="K123" s="39">
        <v>1.1338999999999999</v>
      </c>
      <c r="L123" s="30">
        <v>1.3525</v>
      </c>
      <c r="M123" s="41">
        <v>7.82</v>
      </c>
      <c r="N123" s="44">
        <v>8</v>
      </c>
      <c r="O123" s="41">
        <v>23.87</v>
      </c>
      <c r="P123" s="41">
        <v>47.69</v>
      </c>
      <c r="Q123" s="41">
        <v>4</v>
      </c>
      <c r="R123" s="45">
        <v>1</v>
      </c>
      <c r="S123" s="46">
        <f>MIN(R123,Q123)*_xlfn.XLOOKUP($A123,tbl_Catalog[sku_id],tbl_Catalog[master_carton_qty])</f>
        <v>100</v>
      </c>
      <c r="T123" s="41">
        <f>IF(_xlfn.XLOOKUP($A123,tbl_Catalog[sku_id],tbl_Catalog[master_carton_qty])&gt;0,S123/_xlfn.XLOOKUP($A123,tbl_Catalog[sku_id],tbl_Catalog[master_carton_qty]),0)</f>
        <v>1</v>
      </c>
      <c r="U123" s="41">
        <v>0</v>
      </c>
      <c r="V123" s="41">
        <v>0</v>
      </c>
      <c r="W123" s="41">
        <v>0</v>
      </c>
      <c r="X123" s="30">
        <f>T123*_xlfn.XLOOKUP($A123,tbl_Catalog[sku_id],tbl_Catalog[carton_volume_cbm])</f>
        <v>0.03</v>
      </c>
      <c r="Y123" s="31">
        <f t="shared" si="17"/>
        <v>88.191198518387878</v>
      </c>
      <c r="Z123" s="47">
        <f t="shared" si="18"/>
        <v>0</v>
      </c>
      <c r="AA123" s="4" t="str">
        <f t="shared" si="19"/>
        <v>EXEMPT / AUDIT</v>
      </c>
      <c r="AB123" s="4" t="str">
        <f>IF(MOD(S123,_xlfn.XLOOKUP($A123,tbl_Catalog[sku_id],tbl_Catalog[master_carton_qty]))=0,"CARTON OK","CHECK")</f>
        <v>CARTON OK</v>
      </c>
    </row>
    <row r="124" spans="1:28" x14ac:dyDescent="0.3">
      <c r="A124" s="36" t="s">
        <v>551</v>
      </c>
      <c r="B124" s="16" t="s">
        <v>515</v>
      </c>
      <c r="C124" s="4" t="s">
        <v>188</v>
      </c>
      <c r="D124" s="41">
        <v>0</v>
      </c>
      <c r="E124" s="42">
        <f t="shared" si="15"/>
        <v>0</v>
      </c>
      <c r="F124" s="31">
        <v>0</v>
      </c>
      <c r="G124" s="31">
        <v>0</v>
      </c>
      <c r="H124" s="43">
        <f t="shared" si="16"/>
        <v>0</v>
      </c>
      <c r="I124" s="32">
        <v>0</v>
      </c>
      <c r="J124" s="4" t="b">
        <v>1</v>
      </c>
      <c r="K124" s="39">
        <v>0.52559999999999996</v>
      </c>
      <c r="L124" s="30">
        <v>0.34160000000000001</v>
      </c>
      <c r="M124" s="41">
        <v>2.6</v>
      </c>
      <c r="N124" s="44">
        <v>3</v>
      </c>
      <c r="O124" s="41">
        <v>10.36</v>
      </c>
      <c r="P124" s="41">
        <v>21.4</v>
      </c>
      <c r="Q124" s="41">
        <v>1</v>
      </c>
      <c r="R124" s="45">
        <v>0</v>
      </c>
      <c r="S124" s="46">
        <f>MIN(R124,Q124)*_xlfn.XLOOKUP($A124,tbl_Catalog[sku_id],tbl_Catalog[master_carton_qty])</f>
        <v>0</v>
      </c>
      <c r="T124" s="41">
        <f>IF(_xlfn.XLOOKUP($A124,tbl_Catalog[sku_id],tbl_Catalog[master_carton_qty])&gt;0,S124/_xlfn.XLOOKUP($A124,tbl_Catalog[sku_id],tbl_Catalog[master_carton_qty]),0)</f>
        <v>0</v>
      </c>
      <c r="U124" s="41">
        <v>0</v>
      </c>
      <c r="V124" s="41">
        <v>0</v>
      </c>
      <c r="W124" s="41">
        <v>0</v>
      </c>
      <c r="X124" s="30">
        <f>T124*_xlfn.XLOOKUP($A124,tbl_Catalog[sku_id],tbl_Catalog[carton_volume_cbm])</f>
        <v>0</v>
      </c>
      <c r="Y124" s="31">
        <f t="shared" si="17"/>
        <v>0</v>
      </c>
      <c r="Z124" s="47">
        <f t="shared" si="18"/>
        <v>0</v>
      </c>
      <c r="AA124" s="4" t="str">
        <f t="shared" si="19"/>
        <v>EXEMPT / AUDIT</v>
      </c>
      <c r="AB124" s="4" t="str">
        <f>IF(MOD(S124,_xlfn.XLOOKUP($A124,tbl_Catalog[sku_id],tbl_Catalog[master_carton_qty]))=0,"CARTON OK","CHECK")</f>
        <v>CARTON OK</v>
      </c>
    </row>
    <row r="125" spans="1:28" x14ac:dyDescent="0.3">
      <c r="A125" s="36" t="s">
        <v>554</v>
      </c>
      <c r="B125" s="16" t="s">
        <v>515</v>
      </c>
      <c r="C125" s="4" t="s">
        <v>184</v>
      </c>
      <c r="D125" s="41">
        <v>133</v>
      </c>
      <c r="E125" s="42">
        <f t="shared" si="15"/>
        <v>233</v>
      </c>
      <c r="F125" s="31">
        <v>45.06</v>
      </c>
      <c r="G125" s="31">
        <v>44.3</v>
      </c>
      <c r="H125" s="43">
        <f t="shared" si="16"/>
        <v>45.06</v>
      </c>
      <c r="I125" s="32">
        <v>0</v>
      </c>
      <c r="J125" s="4" t="b">
        <v>0</v>
      </c>
      <c r="K125" s="39">
        <v>4.4000000000000004</v>
      </c>
      <c r="L125" s="30">
        <v>2.2000000000000002</v>
      </c>
      <c r="M125" s="41">
        <v>25.59</v>
      </c>
      <c r="N125" s="44">
        <v>141</v>
      </c>
      <c r="O125" s="41">
        <v>202.6</v>
      </c>
      <c r="P125" s="41">
        <v>295</v>
      </c>
      <c r="Q125" s="41">
        <v>0</v>
      </c>
      <c r="R125" s="45">
        <v>0</v>
      </c>
      <c r="S125" s="46">
        <f>MIN(R125,Q125)*_xlfn.XLOOKUP($A125,tbl_Catalog[sku_id],tbl_Catalog[master_carton_qty])</f>
        <v>0</v>
      </c>
      <c r="T125" s="41">
        <f>IF(_xlfn.XLOOKUP($A125,tbl_Catalog[sku_id],tbl_Catalog[master_carton_qty])&gt;0,S125/_xlfn.XLOOKUP($A125,tbl_Catalog[sku_id],tbl_Catalog[master_carton_qty]),0)</f>
        <v>0</v>
      </c>
      <c r="U125" s="41">
        <v>0</v>
      </c>
      <c r="V125" s="41">
        <v>0</v>
      </c>
      <c r="W125" s="41">
        <v>100</v>
      </c>
      <c r="X125" s="30">
        <f>T125*_xlfn.XLOOKUP($A125,tbl_Catalog[sku_id],tbl_Catalog[carton_volume_cbm])</f>
        <v>0</v>
      </c>
      <c r="Y125" s="31">
        <f t="shared" si="17"/>
        <v>52.954545454545453</v>
      </c>
      <c r="Z125" s="47">
        <f t="shared" si="18"/>
        <v>0</v>
      </c>
      <c r="AA125" s="4" t="str">
        <f t="shared" si="19"/>
        <v>SHIELDED</v>
      </c>
      <c r="AB125" s="4" t="str">
        <f>IF(MOD(S125,_xlfn.XLOOKUP($A125,tbl_Catalog[sku_id],tbl_Catalog[master_carton_qty]))=0,"CARTON OK","CHECK")</f>
        <v>CARTON OK</v>
      </c>
    </row>
    <row r="126" spans="1:28" x14ac:dyDescent="0.3">
      <c r="A126" s="36" t="s">
        <v>558</v>
      </c>
      <c r="B126" s="16" t="s">
        <v>515</v>
      </c>
      <c r="C126" s="4" t="s">
        <v>179</v>
      </c>
      <c r="D126" s="41">
        <v>89</v>
      </c>
      <c r="E126" s="42">
        <f t="shared" si="15"/>
        <v>89</v>
      </c>
      <c r="F126" s="31">
        <v>28.88</v>
      </c>
      <c r="G126" s="31">
        <v>43.57</v>
      </c>
      <c r="H126" s="43">
        <f t="shared" si="16"/>
        <v>43.57</v>
      </c>
      <c r="I126" s="32">
        <v>0</v>
      </c>
      <c r="J126" s="4" t="b">
        <v>0</v>
      </c>
      <c r="K126" s="39">
        <v>6.1666999999999996</v>
      </c>
      <c r="L126" s="30">
        <v>4.1932999999999998</v>
      </c>
      <c r="M126" s="41">
        <v>39.9</v>
      </c>
      <c r="N126" s="44">
        <v>198</v>
      </c>
      <c r="O126" s="41">
        <v>284.33</v>
      </c>
      <c r="P126" s="41">
        <v>413.83</v>
      </c>
      <c r="Q126" s="41">
        <v>0</v>
      </c>
      <c r="R126" s="45">
        <v>4</v>
      </c>
      <c r="S126" s="46">
        <f>MIN(R126,Q126)*_xlfn.XLOOKUP($A126,tbl_Catalog[sku_id],tbl_Catalog[master_carton_qty])</f>
        <v>0</v>
      </c>
      <c r="T126" s="41">
        <f>IF(_xlfn.XLOOKUP($A126,tbl_Catalog[sku_id],tbl_Catalog[master_carton_qty])&gt;0,S126/_xlfn.XLOOKUP($A126,tbl_Catalog[sku_id],tbl_Catalog[master_carton_qty]),0)</f>
        <v>0</v>
      </c>
      <c r="U126" s="41">
        <v>0</v>
      </c>
      <c r="V126" s="41">
        <v>0</v>
      </c>
      <c r="W126" s="41">
        <v>0</v>
      </c>
      <c r="X126" s="30">
        <f>T126*_xlfn.XLOOKUP($A126,tbl_Catalog[sku_id],tbl_Catalog[carton_volume_cbm])</f>
        <v>0</v>
      </c>
      <c r="Y126" s="31">
        <f t="shared" si="17"/>
        <v>14.43235441970584</v>
      </c>
      <c r="Z126" s="47">
        <f t="shared" si="18"/>
        <v>0</v>
      </c>
      <c r="AA126" s="4" t="str">
        <f t="shared" si="19"/>
        <v>SHIELDED</v>
      </c>
      <c r="AB126" s="4" t="str">
        <f>IF(MOD(S126,_xlfn.XLOOKUP($A126,tbl_Catalog[sku_id],tbl_Catalog[master_carton_qty]))=0,"CARTON OK","CHECK")</f>
        <v>CARTON OK</v>
      </c>
    </row>
    <row r="127" spans="1:28" x14ac:dyDescent="0.3">
      <c r="A127" s="36" t="s">
        <v>561</v>
      </c>
      <c r="B127" s="16" t="s">
        <v>515</v>
      </c>
      <c r="C127" s="4" t="s">
        <v>179</v>
      </c>
      <c r="D127" s="41">
        <v>249</v>
      </c>
      <c r="E127" s="42">
        <f t="shared" si="15"/>
        <v>249</v>
      </c>
      <c r="F127" s="31">
        <v>51.58</v>
      </c>
      <c r="G127" s="31">
        <v>45.96</v>
      </c>
      <c r="H127" s="43">
        <f t="shared" si="16"/>
        <v>51.58</v>
      </c>
      <c r="I127" s="32">
        <v>0</v>
      </c>
      <c r="J127" s="4" t="b">
        <v>1</v>
      </c>
      <c r="K127" s="39">
        <v>3.8666999999999998</v>
      </c>
      <c r="L127" s="30">
        <v>2.6293000000000002</v>
      </c>
      <c r="M127" s="41">
        <v>25.02</v>
      </c>
      <c r="N127" s="44">
        <v>26</v>
      </c>
      <c r="O127" s="41">
        <v>80.13</v>
      </c>
      <c r="P127" s="41">
        <v>161.33000000000001</v>
      </c>
      <c r="Q127" s="41">
        <v>1</v>
      </c>
      <c r="R127" s="45">
        <v>0</v>
      </c>
      <c r="S127" s="46">
        <f>MIN(R127,Q127)*_xlfn.XLOOKUP($A127,tbl_Catalog[sku_id],tbl_Catalog[master_carton_qty])</f>
        <v>0</v>
      </c>
      <c r="T127" s="41">
        <f>IF(_xlfn.XLOOKUP($A127,tbl_Catalog[sku_id],tbl_Catalog[master_carton_qty])&gt;0,S127/_xlfn.XLOOKUP($A127,tbl_Catalog[sku_id],tbl_Catalog[master_carton_qty]),0)</f>
        <v>0</v>
      </c>
      <c r="U127" s="41">
        <v>0</v>
      </c>
      <c r="V127" s="41">
        <v>0</v>
      </c>
      <c r="W127" s="41">
        <v>0</v>
      </c>
      <c r="X127" s="30">
        <f>T127*_xlfn.XLOOKUP($A127,tbl_Catalog[sku_id],tbl_Catalog[carton_volume_cbm])</f>
        <v>0</v>
      </c>
      <c r="Y127" s="31">
        <f t="shared" si="17"/>
        <v>64.395996586236322</v>
      </c>
      <c r="Z127" s="47">
        <f t="shared" si="18"/>
        <v>0</v>
      </c>
      <c r="AA127" s="4" t="str">
        <f t="shared" si="19"/>
        <v>SHIELDED</v>
      </c>
      <c r="AB127" s="4" t="str">
        <f>IF(MOD(S127,_xlfn.XLOOKUP($A127,tbl_Catalog[sku_id],tbl_Catalog[master_carton_qty]))=0,"CARTON OK","CHECK")</f>
        <v>CARTON OK</v>
      </c>
    </row>
    <row r="128" spans="1:28" x14ac:dyDescent="0.3">
      <c r="A128" s="36" t="s">
        <v>564</v>
      </c>
      <c r="B128" s="16" t="s">
        <v>515</v>
      </c>
      <c r="C128" s="4" t="s">
        <v>188</v>
      </c>
      <c r="D128" s="41">
        <v>83</v>
      </c>
      <c r="E128" s="42">
        <f t="shared" si="15"/>
        <v>83</v>
      </c>
      <c r="F128" s="31">
        <v>67.28</v>
      </c>
      <c r="G128" s="31">
        <v>105.75</v>
      </c>
      <c r="H128" s="43">
        <f t="shared" si="16"/>
        <v>105.75</v>
      </c>
      <c r="I128" s="32">
        <v>0</v>
      </c>
      <c r="J128" s="4" t="b">
        <v>1</v>
      </c>
      <c r="K128" s="39">
        <v>1.5333000000000001</v>
      </c>
      <c r="L128" s="30">
        <v>2.0699999999999998</v>
      </c>
      <c r="M128" s="41">
        <v>11.55</v>
      </c>
      <c r="N128" s="44">
        <v>12</v>
      </c>
      <c r="O128" s="41">
        <v>33.47</v>
      </c>
      <c r="P128" s="41">
        <v>65.67</v>
      </c>
      <c r="Q128" s="41">
        <v>2</v>
      </c>
      <c r="R128" s="45">
        <v>0</v>
      </c>
      <c r="S128" s="46">
        <f>MIN(R128,Q128)*_xlfn.XLOOKUP($A128,tbl_Catalog[sku_id],tbl_Catalog[master_carton_qty])</f>
        <v>0</v>
      </c>
      <c r="T128" s="41">
        <f>IF(_xlfn.XLOOKUP($A128,tbl_Catalog[sku_id],tbl_Catalog[master_carton_qty])&gt;0,S128/_xlfn.XLOOKUP($A128,tbl_Catalog[sku_id],tbl_Catalog[master_carton_qty]),0)</f>
        <v>0</v>
      </c>
      <c r="U128" s="41">
        <v>0</v>
      </c>
      <c r="V128" s="41">
        <v>0</v>
      </c>
      <c r="W128" s="41">
        <v>0</v>
      </c>
      <c r="X128" s="30">
        <f>T128*_xlfn.XLOOKUP($A128,tbl_Catalog[sku_id],tbl_Catalog[carton_volume_cbm])</f>
        <v>0</v>
      </c>
      <c r="Y128" s="31">
        <f t="shared" si="17"/>
        <v>54.131611556772967</v>
      </c>
      <c r="Z128" s="47">
        <f t="shared" si="18"/>
        <v>0</v>
      </c>
      <c r="AA128" s="4" t="str">
        <f t="shared" si="19"/>
        <v>SHIELDED</v>
      </c>
      <c r="AB128" s="4" t="str">
        <f>IF(MOD(S128,_xlfn.XLOOKUP($A128,tbl_Catalog[sku_id],tbl_Catalog[master_carton_qty]))=0,"CARTON OK","CHECK")</f>
        <v>CARTON OK</v>
      </c>
    </row>
    <row r="129" spans="1:28" x14ac:dyDescent="0.3">
      <c r="A129" s="36" t="s">
        <v>567</v>
      </c>
      <c r="B129" s="16" t="s">
        <v>515</v>
      </c>
      <c r="C129" s="4" t="s">
        <v>188</v>
      </c>
      <c r="D129" s="41">
        <v>93</v>
      </c>
      <c r="E129" s="42">
        <f t="shared" si="15"/>
        <v>93</v>
      </c>
      <c r="F129" s="31">
        <v>64.5</v>
      </c>
      <c r="G129" s="31">
        <v>59.15</v>
      </c>
      <c r="H129" s="43">
        <f t="shared" si="16"/>
        <v>64.5</v>
      </c>
      <c r="I129" s="32">
        <v>0</v>
      </c>
      <c r="J129" s="4" t="b">
        <v>1</v>
      </c>
      <c r="K129" s="39">
        <v>1.4</v>
      </c>
      <c r="L129" s="30">
        <v>1.7173</v>
      </c>
      <c r="M129" s="41">
        <v>9.84</v>
      </c>
      <c r="N129" s="44">
        <v>10</v>
      </c>
      <c r="O129" s="41">
        <v>29.6</v>
      </c>
      <c r="P129" s="41">
        <v>59</v>
      </c>
      <c r="Q129" s="41">
        <v>2</v>
      </c>
      <c r="R129" s="45">
        <v>0</v>
      </c>
      <c r="S129" s="46">
        <f>MIN(R129,Q129)*_xlfn.XLOOKUP($A129,tbl_Catalog[sku_id],tbl_Catalog[master_carton_qty])</f>
        <v>0</v>
      </c>
      <c r="T129" s="41">
        <f>IF(_xlfn.XLOOKUP($A129,tbl_Catalog[sku_id],tbl_Catalog[master_carton_qty])&gt;0,S129/_xlfn.XLOOKUP($A129,tbl_Catalog[sku_id],tbl_Catalog[master_carton_qty]),0)</f>
        <v>0</v>
      </c>
      <c r="U129" s="41">
        <v>0</v>
      </c>
      <c r="V129" s="41">
        <v>0</v>
      </c>
      <c r="W129" s="41">
        <v>0</v>
      </c>
      <c r="X129" s="30">
        <f>T129*_xlfn.XLOOKUP($A129,tbl_Catalog[sku_id],tbl_Catalog[carton_volume_cbm])</f>
        <v>0</v>
      </c>
      <c r="Y129" s="31">
        <f t="shared" si="17"/>
        <v>66.428571428571431</v>
      </c>
      <c r="Z129" s="47">
        <f t="shared" si="18"/>
        <v>0</v>
      </c>
      <c r="AA129" s="4" t="str">
        <f t="shared" si="19"/>
        <v>SHIELDED</v>
      </c>
      <c r="AB129" s="4" t="str">
        <f>IF(MOD(S129,_xlfn.XLOOKUP($A129,tbl_Catalog[sku_id],tbl_Catalog[master_carton_qty]))=0,"CARTON OK","CHECK")</f>
        <v>CARTON OK</v>
      </c>
    </row>
    <row r="130" spans="1:28" x14ac:dyDescent="0.3">
      <c r="A130" s="36" t="s">
        <v>570</v>
      </c>
      <c r="B130" s="16" t="s">
        <v>515</v>
      </c>
      <c r="C130" s="4" t="s">
        <v>188</v>
      </c>
      <c r="D130" s="41">
        <v>0</v>
      </c>
      <c r="E130" s="42">
        <f t="shared" si="15"/>
        <v>100</v>
      </c>
      <c r="F130" s="31">
        <v>12.72</v>
      </c>
      <c r="G130" s="31">
        <v>41.37</v>
      </c>
      <c r="H130" s="43">
        <f t="shared" si="16"/>
        <v>41.37</v>
      </c>
      <c r="I130" s="32">
        <v>0</v>
      </c>
      <c r="J130" s="4" t="b">
        <v>1</v>
      </c>
      <c r="K130" s="39">
        <v>0.76</v>
      </c>
      <c r="L130" s="30">
        <v>0.94410000000000005</v>
      </c>
      <c r="M130" s="41">
        <v>5.39</v>
      </c>
      <c r="N130" s="44">
        <v>6</v>
      </c>
      <c r="O130" s="41">
        <v>16.64</v>
      </c>
      <c r="P130" s="41">
        <v>32.6</v>
      </c>
      <c r="Q130" s="41">
        <v>3</v>
      </c>
      <c r="R130" s="45">
        <v>0</v>
      </c>
      <c r="S130" s="46">
        <f>MIN(R130,Q130)*_xlfn.XLOOKUP($A130,tbl_Catalog[sku_id],tbl_Catalog[master_carton_qty])</f>
        <v>0</v>
      </c>
      <c r="T130" s="41">
        <f>IF(_xlfn.XLOOKUP($A130,tbl_Catalog[sku_id],tbl_Catalog[master_carton_qty])&gt;0,S130/_xlfn.XLOOKUP($A130,tbl_Catalog[sku_id],tbl_Catalog[master_carton_qty]),0)</f>
        <v>0</v>
      </c>
      <c r="U130" s="41">
        <v>0</v>
      </c>
      <c r="V130" s="41">
        <v>0</v>
      </c>
      <c r="W130" s="41">
        <v>100</v>
      </c>
      <c r="X130" s="30">
        <f>T130*_xlfn.XLOOKUP($A130,tbl_Catalog[sku_id],tbl_Catalog[carton_volume_cbm])</f>
        <v>0</v>
      </c>
      <c r="Y130" s="31">
        <f t="shared" si="17"/>
        <v>131.57894736842104</v>
      </c>
      <c r="Z130" s="47">
        <f t="shared" si="18"/>
        <v>0</v>
      </c>
      <c r="AA130" s="4" t="str">
        <f t="shared" si="19"/>
        <v>SHIELDED</v>
      </c>
      <c r="AB130" s="4" t="str">
        <f>IF(MOD(S130,_xlfn.XLOOKUP($A130,tbl_Catalog[sku_id],tbl_Catalog[master_carton_qty]))=0,"CARTON OK","CHECK")</f>
        <v>CARTON OK</v>
      </c>
    </row>
    <row r="131" spans="1:28" x14ac:dyDescent="0.3">
      <c r="A131" s="36" t="s">
        <v>573</v>
      </c>
      <c r="B131" s="16" t="s">
        <v>515</v>
      </c>
      <c r="C131" s="4" t="s">
        <v>188</v>
      </c>
      <c r="D131" s="41">
        <v>71</v>
      </c>
      <c r="E131" s="42">
        <f t="shared" si="15"/>
        <v>71</v>
      </c>
      <c r="F131" s="31">
        <v>80.75</v>
      </c>
      <c r="G131" s="31">
        <v>47.53</v>
      </c>
      <c r="H131" s="43">
        <f t="shared" si="16"/>
        <v>80.75</v>
      </c>
      <c r="I131" s="32">
        <v>0</v>
      </c>
      <c r="J131" s="4" t="b">
        <v>1</v>
      </c>
      <c r="K131" s="39">
        <v>1.0667</v>
      </c>
      <c r="L131" s="30">
        <v>1.4368000000000001</v>
      </c>
      <c r="M131" s="41">
        <v>8.02</v>
      </c>
      <c r="N131" s="44">
        <v>9</v>
      </c>
      <c r="O131" s="41">
        <v>23.93</v>
      </c>
      <c r="P131" s="41">
        <v>46.33</v>
      </c>
      <c r="Q131" s="41">
        <v>2</v>
      </c>
      <c r="R131" s="45">
        <v>0</v>
      </c>
      <c r="S131" s="46">
        <f>MIN(R131,Q131)*_xlfn.XLOOKUP($A131,tbl_Catalog[sku_id],tbl_Catalog[master_carton_qty])</f>
        <v>0</v>
      </c>
      <c r="T131" s="41">
        <f>IF(_xlfn.XLOOKUP($A131,tbl_Catalog[sku_id],tbl_Catalog[master_carton_qty])&gt;0,S131/_xlfn.XLOOKUP($A131,tbl_Catalog[sku_id],tbl_Catalog[master_carton_qty]),0)</f>
        <v>0</v>
      </c>
      <c r="U131" s="41">
        <v>0</v>
      </c>
      <c r="V131" s="41">
        <v>0</v>
      </c>
      <c r="W131" s="41">
        <v>0</v>
      </c>
      <c r="X131" s="30">
        <f>T131*_xlfn.XLOOKUP($A131,tbl_Catalog[sku_id],tbl_Catalog[carton_volume_cbm])</f>
        <v>0</v>
      </c>
      <c r="Y131" s="31">
        <f t="shared" si="17"/>
        <v>66.560419986875416</v>
      </c>
      <c r="Z131" s="47">
        <f t="shared" si="18"/>
        <v>0</v>
      </c>
      <c r="AA131" s="4" t="str">
        <f t="shared" si="19"/>
        <v>SHIELDED</v>
      </c>
      <c r="AB131" s="4" t="str">
        <f>IF(MOD(S131,_xlfn.XLOOKUP($A131,tbl_Catalog[sku_id],tbl_Catalog[master_carton_qty]))=0,"CARTON OK","CHECK")</f>
        <v>CARTON OK</v>
      </c>
    </row>
    <row r="132" spans="1:28" x14ac:dyDescent="0.3">
      <c r="A132" s="36" t="s">
        <v>576</v>
      </c>
      <c r="B132" s="16" t="s">
        <v>515</v>
      </c>
      <c r="C132" s="4" t="s">
        <v>188</v>
      </c>
      <c r="D132" s="41">
        <v>0</v>
      </c>
      <c r="E132" s="42">
        <f t="shared" si="15"/>
        <v>0</v>
      </c>
      <c r="F132" s="31">
        <v>0</v>
      </c>
      <c r="G132" s="31">
        <v>0</v>
      </c>
      <c r="H132" s="43">
        <f t="shared" si="16"/>
        <v>0</v>
      </c>
      <c r="I132" s="32">
        <v>0</v>
      </c>
      <c r="J132" s="4" t="b">
        <v>1</v>
      </c>
      <c r="K132" s="39">
        <v>0.73629999999999995</v>
      </c>
      <c r="L132" s="30">
        <v>0.47860000000000003</v>
      </c>
      <c r="M132" s="41">
        <v>3.65</v>
      </c>
      <c r="N132" s="44">
        <v>4</v>
      </c>
      <c r="O132" s="41">
        <v>14.31</v>
      </c>
      <c r="P132" s="41">
        <v>29.77</v>
      </c>
      <c r="Q132" s="41">
        <v>1</v>
      </c>
      <c r="R132" s="45">
        <v>0</v>
      </c>
      <c r="S132" s="46">
        <f>MIN(R132,Q132)*_xlfn.XLOOKUP($A132,tbl_Catalog[sku_id],tbl_Catalog[master_carton_qty])</f>
        <v>0</v>
      </c>
      <c r="T132" s="41">
        <f>IF(_xlfn.XLOOKUP($A132,tbl_Catalog[sku_id],tbl_Catalog[master_carton_qty])&gt;0,S132/_xlfn.XLOOKUP($A132,tbl_Catalog[sku_id],tbl_Catalog[master_carton_qty]),0)</f>
        <v>0</v>
      </c>
      <c r="U132" s="41">
        <v>0</v>
      </c>
      <c r="V132" s="41">
        <v>0</v>
      </c>
      <c r="W132" s="41">
        <v>0</v>
      </c>
      <c r="X132" s="30">
        <f>T132*_xlfn.XLOOKUP($A132,tbl_Catalog[sku_id],tbl_Catalog[carton_volume_cbm])</f>
        <v>0</v>
      </c>
      <c r="Y132" s="31">
        <f t="shared" si="17"/>
        <v>0</v>
      </c>
      <c r="Z132" s="47">
        <f t="shared" si="18"/>
        <v>0</v>
      </c>
      <c r="AA132" s="4" t="str">
        <f t="shared" si="19"/>
        <v>EXEMPT / AUDIT</v>
      </c>
      <c r="AB132" s="4" t="str">
        <f>IF(MOD(S132,_xlfn.XLOOKUP($A132,tbl_Catalog[sku_id],tbl_Catalog[master_carton_qty]))=0,"CARTON OK","CHECK")</f>
        <v>CARTON OK</v>
      </c>
    </row>
    <row r="133" spans="1:28" x14ac:dyDescent="0.3">
      <c r="A133" s="36" t="s">
        <v>579</v>
      </c>
      <c r="B133" s="16" t="s">
        <v>515</v>
      </c>
      <c r="C133" s="4" t="s">
        <v>188</v>
      </c>
      <c r="D133" s="41">
        <v>48</v>
      </c>
      <c r="E133" s="42">
        <f t="shared" ref="E133:E164" si="20">D133+U133+V133+W133</f>
        <v>48</v>
      </c>
      <c r="F133" s="31">
        <v>56.08</v>
      </c>
      <c r="G133" s="31">
        <v>91.53</v>
      </c>
      <c r="H133" s="43">
        <f t="shared" ref="H133:H164" si="21">MAX(F133,G133)</f>
        <v>91.53</v>
      </c>
      <c r="I133" s="32">
        <v>0</v>
      </c>
      <c r="J133" s="4" t="b">
        <v>1</v>
      </c>
      <c r="K133" s="39">
        <v>1.2</v>
      </c>
      <c r="L133" s="30">
        <v>1.0001</v>
      </c>
      <c r="M133" s="41">
        <v>6.66</v>
      </c>
      <c r="N133" s="44">
        <v>7</v>
      </c>
      <c r="O133" s="41">
        <v>23.8</v>
      </c>
      <c r="P133" s="41">
        <v>49</v>
      </c>
      <c r="Q133" s="41">
        <v>3</v>
      </c>
      <c r="R133" s="45">
        <v>0</v>
      </c>
      <c r="S133" s="46">
        <f>MIN(R133,Q133)*_xlfn.XLOOKUP($A133,tbl_Catalog[sku_id],tbl_Catalog[master_carton_qty])</f>
        <v>0</v>
      </c>
      <c r="T133" s="41">
        <f>IF(_xlfn.XLOOKUP($A133,tbl_Catalog[sku_id],tbl_Catalog[master_carton_qty])&gt;0,S133/_xlfn.XLOOKUP($A133,tbl_Catalog[sku_id],tbl_Catalog[master_carton_qty]),0)</f>
        <v>0</v>
      </c>
      <c r="U133" s="41">
        <v>0</v>
      </c>
      <c r="V133" s="41">
        <v>0</v>
      </c>
      <c r="W133" s="41">
        <v>0</v>
      </c>
      <c r="X133" s="30">
        <f>T133*_xlfn.XLOOKUP($A133,tbl_Catalog[sku_id],tbl_Catalog[carton_volume_cbm])</f>
        <v>0</v>
      </c>
      <c r="Y133" s="31">
        <f t="shared" ref="Y133:Y164" si="22">IF(K133&gt;0,(E133+S133)/K133,0)</f>
        <v>40</v>
      </c>
      <c r="Z133" s="47">
        <f t="shared" ref="Z133:Z164" si="23">S133*I133</f>
        <v>0</v>
      </c>
      <c r="AA133" s="4" t="str">
        <f t="shared" ref="AA133:AA164" si="24">IF(AND(H133&lt;Fee_Threshold,I133&gt;0),"LOW-INVENTORY FEE ACTIVE",IF(H133&lt;Fee_Threshold,"EXEMPT / AUDIT","SHIELDED"))</f>
        <v>SHIELDED</v>
      </c>
      <c r="AB133" s="4" t="str">
        <f>IF(MOD(S133,_xlfn.XLOOKUP($A133,tbl_Catalog[sku_id],tbl_Catalog[master_carton_qty]))=0,"CARTON OK","CHECK")</f>
        <v>CARTON OK</v>
      </c>
    </row>
    <row r="134" spans="1:28" x14ac:dyDescent="0.3">
      <c r="A134" s="36" t="s">
        <v>582</v>
      </c>
      <c r="B134" s="16" t="s">
        <v>515</v>
      </c>
      <c r="C134" s="4" t="s">
        <v>188</v>
      </c>
      <c r="D134" s="41">
        <v>0</v>
      </c>
      <c r="E134" s="42">
        <f t="shared" si="20"/>
        <v>0</v>
      </c>
      <c r="F134" s="31">
        <v>0</v>
      </c>
      <c r="G134" s="31">
        <v>0.33</v>
      </c>
      <c r="H134" s="43">
        <f t="shared" si="21"/>
        <v>0.33</v>
      </c>
      <c r="I134" s="32">
        <v>0</v>
      </c>
      <c r="J134" s="4" t="b">
        <v>1</v>
      </c>
      <c r="K134" s="39">
        <v>0.26750000000000002</v>
      </c>
      <c r="L134" s="30">
        <v>0.36120000000000002</v>
      </c>
      <c r="M134" s="41">
        <v>2.02</v>
      </c>
      <c r="N134" s="44">
        <v>3</v>
      </c>
      <c r="O134" s="41">
        <v>6.74</v>
      </c>
      <c r="P134" s="41">
        <v>12.36</v>
      </c>
      <c r="Q134" s="41">
        <v>1</v>
      </c>
      <c r="R134" s="45">
        <v>0</v>
      </c>
      <c r="S134" s="46">
        <f>MIN(R134,Q134)*_xlfn.XLOOKUP($A134,tbl_Catalog[sku_id],tbl_Catalog[master_carton_qty])</f>
        <v>0</v>
      </c>
      <c r="T134" s="41">
        <f>IF(_xlfn.XLOOKUP($A134,tbl_Catalog[sku_id],tbl_Catalog[master_carton_qty])&gt;0,S134/_xlfn.XLOOKUP($A134,tbl_Catalog[sku_id],tbl_Catalog[master_carton_qty]),0)</f>
        <v>0</v>
      </c>
      <c r="U134" s="41">
        <v>0</v>
      </c>
      <c r="V134" s="41">
        <v>0</v>
      </c>
      <c r="W134" s="41">
        <v>0</v>
      </c>
      <c r="X134" s="30">
        <f>T134*_xlfn.XLOOKUP($A134,tbl_Catalog[sku_id],tbl_Catalog[carton_volume_cbm])</f>
        <v>0</v>
      </c>
      <c r="Y134" s="31">
        <f t="shared" si="22"/>
        <v>0</v>
      </c>
      <c r="Z134" s="47">
        <f t="shared" si="23"/>
        <v>0</v>
      </c>
      <c r="AA134" s="4" t="str">
        <f t="shared" si="24"/>
        <v>EXEMPT / AUDIT</v>
      </c>
      <c r="AB134" s="4" t="str">
        <f>IF(MOD(S134,_xlfn.XLOOKUP($A134,tbl_Catalog[sku_id],tbl_Catalog[master_carton_qty]))=0,"CARTON OK","CHECK")</f>
        <v>CARTON OK</v>
      </c>
    </row>
    <row r="135" spans="1:28" x14ac:dyDescent="0.3">
      <c r="A135" s="36" t="s">
        <v>585</v>
      </c>
      <c r="B135" s="16" t="s">
        <v>515</v>
      </c>
      <c r="C135" s="4" t="s">
        <v>188</v>
      </c>
      <c r="D135" s="41">
        <v>0</v>
      </c>
      <c r="E135" s="42">
        <f t="shared" si="20"/>
        <v>0</v>
      </c>
      <c r="F135" s="31">
        <v>0</v>
      </c>
      <c r="G135" s="31">
        <v>0</v>
      </c>
      <c r="H135" s="43">
        <f t="shared" si="21"/>
        <v>0</v>
      </c>
      <c r="I135" s="32">
        <v>0</v>
      </c>
      <c r="J135" s="4" t="b">
        <v>1</v>
      </c>
      <c r="K135" s="39">
        <v>0.65790000000000004</v>
      </c>
      <c r="L135" s="30">
        <v>0.42759999999999998</v>
      </c>
      <c r="M135" s="41">
        <v>3.26</v>
      </c>
      <c r="N135" s="44">
        <v>4</v>
      </c>
      <c r="O135" s="41">
        <v>13.21</v>
      </c>
      <c r="P135" s="41">
        <v>27.03</v>
      </c>
      <c r="Q135" s="41">
        <v>2</v>
      </c>
      <c r="R135" s="45">
        <v>0</v>
      </c>
      <c r="S135" s="46">
        <f>MIN(R135,Q135)*_xlfn.XLOOKUP($A135,tbl_Catalog[sku_id],tbl_Catalog[master_carton_qty])</f>
        <v>0</v>
      </c>
      <c r="T135" s="41">
        <f>IF(_xlfn.XLOOKUP($A135,tbl_Catalog[sku_id],tbl_Catalog[master_carton_qty])&gt;0,S135/_xlfn.XLOOKUP($A135,tbl_Catalog[sku_id],tbl_Catalog[master_carton_qty]),0)</f>
        <v>0</v>
      </c>
      <c r="U135" s="41">
        <v>0</v>
      </c>
      <c r="V135" s="41">
        <v>0</v>
      </c>
      <c r="W135" s="41">
        <v>0</v>
      </c>
      <c r="X135" s="30">
        <f>T135*_xlfn.XLOOKUP($A135,tbl_Catalog[sku_id],tbl_Catalog[carton_volume_cbm])</f>
        <v>0</v>
      </c>
      <c r="Y135" s="31">
        <f t="shared" si="22"/>
        <v>0</v>
      </c>
      <c r="Z135" s="47">
        <f t="shared" si="23"/>
        <v>0</v>
      </c>
      <c r="AA135" s="4" t="str">
        <f t="shared" si="24"/>
        <v>EXEMPT / AUDIT</v>
      </c>
      <c r="AB135" s="4" t="str">
        <f>IF(MOD(S135,_xlfn.XLOOKUP($A135,tbl_Catalog[sku_id],tbl_Catalog[master_carton_qty]))=0,"CARTON OK","CHECK")</f>
        <v>CARTON OK</v>
      </c>
    </row>
    <row r="136" spans="1:28" x14ac:dyDescent="0.3">
      <c r="A136" s="36" t="s">
        <v>588</v>
      </c>
      <c r="B136" s="16" t="s">
        <v>515</v>
      </c>
      <c r="C136" s="4" t="s">
        <v>188</v>
      </c>
      <c r="D136" s="41">
        <v>0</v>
      </c>
      <c r="E136" s="42">
        <f t="shared" si="20"/>
        <v>0</v>
      </c>
      <c r="F136" s="31">
        <v>0</v>
      </c>
      <c r="G136" s="31">
        <v>24.15</v>
      </c>
      <c r="H136" s="43">
        <f t="shared" si="21"/>
        <v>24.15</v>
      </c>
      <c r="I136" s="32">
        <v>0</v>
      </c>
      <c r="J136" s="4" t="b">
        <v>1</v>
      </c>
      <c r="K136" s="39">
        <v>2.1896</v>
      </c>
      <c r="L136" s="30">
        <v>2.956</v>
      </c>
      <c r="M136" s="41">
        <v>16.489999999999998</v>
      </c>
      <c r="N136" s="44">
        <v>17</v>
      </c>
      <c r="O136" s="41">
        <v>47.65</v>
      </c>
      <c r="P136" s="41">
        <v>93.64</v>
      </c>
      <c r="Q136" s="41">
        <v>1</v>
      </c>
      <c r="R136" s="45">
        <v>1</v>
      </c>
      <c r="S136" s="46">
        <f>MIN(R136,Q136)*_xlfn.XLOOKUP($A136,tbl_Catalog[sku_id],tbl_Catalog[master_carton_qty])</f>
        <v>100</v>
      </c>
      <c r="T136" s="41">
        <f>IF(_xlfn.XLOOKUP($A136,tbl_Catalog[sku_id],tbl_Catalog[master_carton_qty])&gt;0,S136/_xlfn.XLOOKUP($A136,tbl_Catalog[sku_id],tbl_Catalog[master_carton_qty]),0)</f>
        <v>1</v>
      </c>
      <c r="U136" s="41">
        <v>0</v>
      </c>
      <c r="V136" s="41">
        <v>0</v>
      </c>
      <c r="W136" s="41">
        <v>0</v>
      </c>
      <c r="X136" s="30">
        <f>T136*_xlfn.XLOOKUP($A136,tbl_Catalog[sku_id],tbl_Catalog[carton_volume_cbm])</f>
        <v>0.03</v>
      </c>
      <c r="Y136" s="31">
        <f t="shared" si="22"/>
        <v>45.67044208987943</v>
      </c>
      <c r="Z136" s="47">
        <f t="shared" si="23"/>
        <v>0</v>
      </c>
      <c r="AA136" s="4" t="str">
        <f t="shared" si="24"/>
        <v>EXEMPT / AUDIT</v>
      </c>
      <c r="AB136" s="4" t="str">
        <f>IF(MOD(S136,_xlfn.XLOOKUP($A136,tbl_Catalog[sku_id],tbl_Catalog[master_carton_qty]))=0,"CARTON OK","CHECK")</f>
        <v>CARTON OK</v>
      </c>
    </row>
    <row r="137" spans="1:28" x14ac:dyDescent="0.3">
      <c r="A137" s="36" t="s">
        <v>591</v>
      </c>
      <c r="B137" s="16" t="s">
        <v>592</v>
      </c>
      <c r="C137" s="4" t="s">
        <v>184</v>
      </c>
      <c r="D137" s="41">
        <v>126</v>
      </c>
      <c r="E137" s="42">
        <f t="shared" si="20"/>
        <v>126</v>
      </c>
      <c r="F137" s="31">
        <v>35.950000000000003</v>
      </c>
      <c r="G137" s="31">
        <v>35.69</v>
      </c>
      <c r="H137" s="43">
        <f t="shared" si="21"/>
        <v>35.950000000000003</v>
      </c>
      <c r="I137" s="32">
        <v>0</v>
      </c>
      <c r="J137" s="4" t="b">
        <v>0</v>
      </c>
      <c r="K137" s="39">
        <v>6.2332999999999998</v>
      </c>
      <c r="L137" s="30">
        <v>3.1166999999999998</v>
      </c>
      <c r="M137" s="41">
        <v>36.25</v>
      </c>
      <c r="N137" s="44">
        <v>200</v>
      </c>
      <c r="O137" s="41">
        <v>287.27</v>
      </c>
      <c r="P137" s="41">
        <v>418.17</v>
      </c>
      <c r="Q137" s="41">
        <v>0</v>
      </c>
      <c r="R137" s="45">
        <v>6</v>
      </c>
      <c r="S137" s="46">
        <f>MIN(R137,Q137)*_xlfn.XLOOKUP($A137,tbl_Catalog[sku_id],tbl_Catalog[master_carton_qty])</f>
        <v>0</v>
      </c>
      <c r="T137" s="41">
        <f>IF(_xlfn.XLOOKUP($A137,tbl_Catalog[sku_id],tbl_Catalog[master_carton_qty])&gt;0,S137/_xlfn.XLOOKUP($A137,tbl_Catalog[sku_id],tbl_Catalog[master_carton_qty]),0)</f>
        <v>0</v>
      </c>
      <c r="U137" s="41">
        <v>0</v>
      </c>
      <c r="V137" s="41">
        <v>0</v>
      </c>
      <c r="W137" s="41">
        <v>0</v>
      </c>
      <c r="X137" s="30">
        <f>T137*_xlfn.XLOOKUP($A137,tbl_Catalog[sku_id],tbl_Catalog[carton_volume_cbm])</f>
        <v>0</v>
      </c>
      <c r="Y137" s="31">
        <f t="shared" si="22"/>
        <v>20.214011839635507</v>
      </c>
      <c r="Z137" s="47">
        <f t="shared" si="23"/>
        <v>0</v>
      </c>
      <c r="AA137" s="4" t="str">
        <f t="shared" si="24"/>
        <v>SHIELDED</v>
      </c>
      <c r="AB137" s="4" t="str">
        <f>IF(MOD(S137,_xlfn.XLOOKUP($A137,tbl_Catalog[sku_id],tbl_Catalog[master_carton_qty]))=0,"CARTON OK","CHECK")</f>
        <v>CARTON OK</v>
      </c>
    </row>
    <row r="138" spans="1:28" x14ac:dyDescent="0.3">
      <c r="A138" s="36" t="s">
        <v>599</v>
      </c>
      <c r="B138" s="16" t="s">
        <v>592</v>
      </c>
      <c r="C138" s="4" t="s">
        <v>184</v>
      </c>
      <c r="D138" s="41">
        <v>156</v>
      </c>
      <c r="E138" s="42">
        <f t="shared" si="20"/>
        <v>156</v>
      </c>
      <c r="F138" s="31">
        <v>34.99</v>
      </c>
      <c r="G138" s="31">
        <v>41.9</v>
      </c>
      <c r="H138" s="43">
        <f t="shared" si="21"/>
        <v>41.9</v>
      </c>
      <c r="I138" s="32">
        <v>0</v>
      </c>
      <c r="J138" s="4" t="b">
        <v>0</v>
      </c>
      <c r="K138" s="39">
        <v>4.7332999999999998</v>
      </c>
      <c r="L138" s="30">
        <v>2.3666999999999998</v>
      </c>
      <c r="M138" s="41">
        <v>27.53</v>
      </c>
      <c r="N138" s="44">
        <v>152</v>
      </c>
      <c r="O138" s="41">
        <v>218.27</v>
      </c>
      <c r="P138" s="41">
        <v>317.67</v>
      </c>
      <c r="Q138" s="41">
        <v>0</v>
      </c>
      <c r="R138" s="45">
        <v>4</v>
      </c>
      <c r="S138" s="46">
        <f>MIN(R138,Q138)*_xlfn.XLOOKUP($A138,tbl_Catalog[sku_id],tbl_Catalog[master_carton_qty])</f>
        <v>0</v>
      </c>
      <c r="T138" s="41">
        <f>IF(_xlfn.XLOOKUP($A138,tbl_Catalog[sku_id],tbl_Catalog[master_carton_qty])&gt;0,S138/_xlfn.XLOOKUP($A138,tbl_Catalog[sku_id],tbl_Catalog[master_carton_qty]),0)</f>
        <v>0</v>
      </c>
      <c r="U138" s="41">
        <v>0</v>
      </c>
      <c r="V138" s="41">
        <v>0</v>
      </c>
      <c r="W138" s="41">
        <v>0</v>
      </c>
      <c r="X138" s="30">
        <f>T138*_xlfn.XLOOKUP($A138,tbl_Catalog[sku_id],tbl_Catalog[carton_volume_cbm])</f>
        <v>0</v>
      </c>
      <c r="Y138" s="31">
        <f t="shared" si="22"/>
        <v>32.957978577313924</v>
      </c>
      <c r="Z138" s="47">
        <f t="shared" si="23"/>
        <v>0</v>
      </c>
      <c r="AA138" s="4" t="str">
        <f t="shared" si="24"/>
        <v>SHIELDED</v>
      </c>
      <c r="AB138" s="4" t="str">
        <f>IF(MOD(S138,_xlfn.XLOOKUP($A138,tbl_Catalog[sku_id],tbl_Catalog[master_carton_qty]))=0,"CARTON OK","CHECK")</f>
        <v>CARTON OK</v>
      </c>
    </row>
    <row r="139" spans="1:28" x14ac:dyDescent="0.3">
      <c r="A139" s="36" t="s">
        <v>603</v>
      </c>
      <c r="B139" s="16" t="s">
        <v>592</v>
      </c>
      <c r="C139" s="4" t="s">
        <v>184</v>
      </c>
      <c r="D139" s="41">
        <v>175</v>
      </c>
      <c r="E139" s="42">
        <f t="shared" si="20"/>
        <v>175</v>
      </c>
      <c r="F139" s="31">
        <v>38.75</v>
      </c>
      <c r="G139" s="31">
        <v>42.66</v>
      </c>
      <c r="H139" s="43">
        <f t="shared" si="21"/>
        <v>42.66</v>
      </c>
      <c r="I139" s="32">
        <v>0</v>
      </c>
      <c r="J139" s="4" t="b">
        <v>0</v>
      </c>
      <c r="K139" s="39">
        <v>3.5333000000000001</v>
      </c>
      <c r="L139" s="30">
        <v>1.7666999999999999</v>
      </c>
      <c r="M139" s="41">
        <v>20.55</v>
      </c>
      <c r="N139" s="44">
        <v>114</v>
      </c>
      <c r="O139" s="41">
        <v>163.47</v>
      </c>
      <c r="P139" s="41">
        <v>237.67</v>
      </c>
      <c r="Q139" s="41">
        <v>0</v>
      </c>
      <c r="R139" s="45">
        <v>0</v>
      </c>
      <c r="S139" s="46">
        <f>MIN(R139,Q139)*_xlfn.XLOOKUP($A139,tbl_Catalog[sku_id],tbl_Catalog[master_carton_qty])</f>
        <v>0</v>
      </c>
      <c r="T139" s="41">
        <f>IF(_xlfn.XLOOKUP($A139,tbl_Catalog[sku_id],tbl_Catalog[master_carton_qty])&gt;0,S139/_xlfn.XLOOKUP($A139,tbl_Catalog[sku_id],tbl_Catalog[master_carton_qty]),0)</f>
        <v>0</v>
      </c>
      <c r="U139" s="41">
        <v>0</v>
      </c>
      <c r="V139" s="41">
        <v>0</v>
      </c>
      <c r="W139" s="41">
        <v>0</v>
      </c>
      <c r="X139" s="30">
        <f>T139*_xlfn.XLOOKUP($A139,tbl_Catalog[sku_id],tbl_Catalog[carton_volume_cbm])</f>
        <v>0</v>
      </c>
      <c r="Y139" s="31">
        <f t="shared" si="22"/>
        <v>49.528769139331501</v>
      </c>
      <c r="Z139" s="47">
        <f t="shared" si="23"/>
        <v>0</v>
      </c>
      <c r="AA139" s="4" t="str">
        <f t="shared" si="24"/>
        <v>SHIELDED</v>
      </c>
      <c r="AB139" s="4" t="str">
        <f>IF(MOD(S139,_xlfn.XLOOKUP($A139,tbl_Catalog[sku_id],tbl_Catalog[master_carton_qty]))=0,"CARTON OK","CHECK")</f>
        <v>CARTON OK</v>
      </c>
    </row>
    <row r="140" spans="1:28" x14ac:dyDescent="0.3">
      <c r="A140" s="36" t="s">
        <v>606</v>
      </c>
      <c r="B140" s="16" t="s">
        <v>592</v>
      </c>
      <c r="C140" s="4" t="s">
        <v>179</v>
      </c>
      <c r="D140" s="41">
        <v>106</v>
      </c>
      <c r="E140" s="42">
        <f t="shared" si="20"/>
        <v>156</v>
      </c>
      <c r="F140" s="31">
        <v>22.92</v>
      </c>
      <c r="G140" s="31">
        <v>35.18</v>
      </c>
      <c r="H140" s="43">
        <f t="shared" si="21"/>
        <v>35.18</v>
      </c>
      <c r="I140" s="32">
        <v>0</v>
      </c>
      <c r="J140" s="4" t="b">
        <v>0</v>
      </c>
      <c r="K140" s="39">
        <v>3.0935999999999999</v>
      </c>
      <c r="L140" s="30">
        <v>1.8591</v>
      </c>
      <c r="M140" s="41">
        <v>19.079999999999998</v>
      </c>
      <c r="N140" s="44">
        <v>99</v>
      </c>
      <c r="O140" s="41">
        <v>142.31</v>
      </c>
      <c r="P140" s="41">
        <v>207.28</v>
      </c>
      <c r="Q140" s="41">
        <v>0</v>
      </c>
      <c r="R140" s="45">
        <v>0</v>
      </c>
      <c r="S140" s="46">
        <f>MIN(R140,Q140)*_xlfn.XLOOKUP($A140,tbl_Catalog[sku_id],tbl_Catalog[master_carton_qty])</f>
        <v>0</v>
      </c>
      <c r="T140" s="41">
        <f>IF(_xlfn.XLOOKUP($A140,tbl_Catalog[sku_id],tbl_Catalog[master_carton_qty])&gt;0,S140/_xlfn.XLOOKUP($A140,tbl_Catalog[sku_id],tbl_Catalog[master_carton_qty]),0)</f>
        <v>0</v>
      </c>
      <c r="U140" s="41">
        <v>0</v>
      </c>
      <c r="V140" s="41">
        <v>50</v>
      </c>
      <c r="W140" s="41">
        <v>0</v>
      </c>
      <c r="X140" s="30">
        <f>T140*_xlfn.XLOOKUP($A140,tbl_Catalog[sku_id],tbl_Catalog[carton_volume_cbm])</f>
        <v>0</v>
      </c>
      <c r="Y140" s="31">
        <f t="shared" si="22"/>
        <v>50.426687354538402</v>
      </c>
      <c r="Z140" s="47">
        <f t="shared" si="23"/>
        <v>0</v>
      </c>
      <c r="AA140" s="4" t="str">
        <f t="shared" si="24"/>
        <v>SHIELDED</v>
      </c>
      <c r="AB140" s="4" t="str">
        <f>IF(MOD(S140,_xlfn.XLOOKUP($A140,tbl_Catalog[sku_id],tbl_Catalog[master_carton_qty]))=0,"CARTON OK","CHECK")</f>
        <v>CARTON OK</v>
      </c>
    </row>
    <row r="141" spans="1:28" x14ac:dyDescent="0.3">
      <c r="A141" s="36" t="s">
        <v>609</v>
      </c>
      <c r="B141" s="16" t="s">
        <v>592</v>
      </c>
      <c r="C141" s="4" t="s">
        <v>184</v>
      </c>
      <c r="D141" s="41">
        <v>101</v>
      </c>
      <c r="E141" s="42">
        <f t="shared" si="20"/>
        <v>101</v>
      </c>
      <c r="F141" s="31">
        <v>51.34</v>
      </c>
      <c r="G141" s="31">
        <v>49.8</v>
      </c>
      <c r="H141" s="43">
        <f t="shared" si="21"/>
        <v>51.34</v>
      </c>
      <c r="I141" s="32">
        <v>0</v>
      </c>
      <c r="J141" s="4" t="b">
        <v>0</v>
      </c>
      <c r="K141" s="39">
        <v>2.9</v>
      </c>
      <c r="L141" s="30">
        <v>1.45</v>
      </c>
      <c r="M141" s="41">
        <v>16.87</v>
      </c>
      <c r="N141" s="44">
        <v>93</v>
      </c>
      <c r="O141" s="41">
        <v>133.6</v>
      </c>
      <c r="P141" s="41">
        <v>194.5</v>
      </c>
      <c r="Q141" s="41">
        <v>1</v>
      </c>
      <c r="R141" s="45">
        <v>2</v>
      </c>
      <c r="S141" s="46">
        <f>MIN(R141,Q141)*_xlfn.XLOOKUP($A141,tbl_Catalog[sku_id],tbl_Catalog[master_carton_qty])</f>
        <v>50</v>
      </c>
      <c r="T141" s="41">
        <f>IF(_xlfn.XLOOKUP($A141,tbl_Catalog[sku_id],tbl_Catalog[master_carton_qty])&gt;0,S141/_xlfn.XLOOKUP($A141,tbl_Catalog[sku_id],tbl_Catalog[master_carton_qty]),0)</f>
        <v>1</v>
      </c>
      <c r="U141" s="41">
        <v>0</v>
      </c>
      <c r="V141" s="41">
        <v>0</v>
      </c>
      <c r="W141" s="41">
        <v>0</v>
      </c>
      <c r="X141" s="30">
        <f>T141*_xlfn.XLOOKUP($A141,tbl_Catalog[sku_id],tbl_Catalog[carton_volume_cbm])</f>
        <v>9.9000000000000005E-2</v>
      </c>
      <c r="Y141" s="31">
        <f t="shared" si="22"/>
        <v>52.068965517241381</v>
      </c>
      <c r="Z141" s="47">
        <f t="shared" si="23"/>
        <v>0</v>
      </c>
      <c r="AA141" s="4" t="str">
        <f t="shared" si="24"/>
        <v>SHIELDED</v>
      </c>
      <c r="AB141" s="4" t="str">
        <f>IF(MOD(S141,_xlfn.XLOOKUP($A141,tbl_Catalog[sku_id],tbl_Catalog[master_carton_qty]))=0,"CARTON OK","CHECK")</f>
        <v>CARTON OK</v>
      </c>
    </row>
    <row r="142" spans="1:28" x14ac:dyDescent="0.3">
      <c r="A142" s="36" t="s">
        <v>612</v>
      </c>
      <c r="B142" s="16" t="s">
        <v>592</v>
      </c>
      <c r="C142" s="4" t="s">
        <v>188</v>
      </c>
      <c r="D142" s="41">
        <v>92</v>
      </c>
      <c r="E142" s="42">
        <f t="shared" si="20"/>
        <v>92</v>
      </c>
      <c r="F142" s="31">
        <v>40.020000000000003</v>
      </c>
      <c r="G142" s="31">
        <v>70.95</v>
      </c>
      <c r="H142" s="43">
        <f t="shared" si="21"/>
        <v>70.95</v>
      </c>
      <c r="I142" s="32">
        <v>0</v>
      </c>
      <c r="J142" s="4" t="b">
        <v>1</v>
      </c>
      <c r="K142" s="39">
        <v>1.9333</v>
      </c>
      <c r="L142" s="30">
        <v>2.1949000000000001</v>
      </c>
      <c r="M142" s="41">
        <v>12.89</v>
      </c>
      <c r="N142" s="44">
        <v>13</v>
      </c>
      <c r="O142" s="41">
        <v>40.07</v>
      </c>
      <c r="P142" s="41">
        <v>80.67</v>
      </c>
      <c r="Q142" s="41">
        <v>0</v>
      </c>
      <c r="R142" s="45">
        <v>0</v>
      </c>
      <c r="S142" s="46">
        <f>MIN(R142,Q142)*_xlfn.XLOOKUP($A142,tbl_Catalog[sku_id],tbl_Catalog[master_carton_qty])</f>
        <v>0</v>
      </c>
      <c r="T142" s="41">
        <f>IF(_xlfn.XLOOKUP($A142,tbl_Catalog[sku_id],tbl_Catalog[master_carton_qty])&gt;0,S142/_xlfn.XLOOKUP($A142,tbl_Catalog[sku_id],tbl_Catalog[master_carton_qty]),0)</f>
        <v>0</v>
      </c>
      <c r="U142" s="41">
        <v>0</v>
      </c>
      <c r="V142" s="41">
        <v>0</v>
      </c>
      <c r="W142" s="41">
        <v>0</v>
      </c>
      <c r="X142" s="30">
        <f>T142*_xlfn.XLOOKUP($A142,tbl_Catalog[sku_id],tbl_Catalog[carton_volume_cbm])</f>
        <v>0</v>
      </c>
      <c r="Y142" s="31">
        <f t="shared" si="22"/>
        <v>47.587027362540731</v>
      </c>
      <c r="Z142" s="47">
        <f t="shared" si="23"/>
        <v>0</v>
      </c>
      <c r="AA142" s="4" t="str">
        <f t="shared" si="24"/>
        <v>SHIELDED</v>
      </c>
      <c r="AB142" s="4" t="str">
        <f>IF(MOD(S142,_xlfn.XLOOKUP($A142,tbl_Catalog[sku_id],tbl_Catalog[master_carton_qty]))=0,"CARTON OK","CHECK")</f>
        <v>CARTON OK</v>
      </c>
    </row>
    <row r="143" spans="1:28" x14ac:dyDescent="0.3">
      <c r="A143" s="36" t="s">
        <v>615</v>
      </c>
      <c r="B143" s="16" t="s">
        <v>592</v>
      </c>
      <c r="C143" s="4" t="s">
        <v>184</v>
      </c>
      <c r="D143" s="41">
        <v>27</v>
      </c>
      <c r="E143" s="42">
        <f t="shared" si="20"/>
        <v>77</v>
      </c>
      <c r="F143" s="31">
        <v>27.79</v>
      </c>
      <c r="G143" s="31">
        <v>26.33</v>
      </c>
      <c r="H143" s="43">
        <f t="shared" si="21"/>
        <v>27.79</v>
      </c>
      <c r="I143" s="32">
        <v>0</v>
      </c>
      <c r="J143" s="4" t="b">
        <v>1</v>
      </c>
      <c r="K143" s="39">
        <v>2.0667</v>
      </c>
      <c r="L143" s="30">
        <v>1.0333000000000001</v>
      </c>
      <c r="M143" s="41">
        <v>12.02</v>
      </c>
      <c r="N143" s="44">
        <v>13</v>
      </c>
      <c r="O143" s="41">
        <v>41.93</v>
      </c>
      <c r="P143" s="41">
        <v>85.33</v>
      </c>
      <c r="Q143" s="41">
        <v>1</v>
      </c>
      <c r="R143" s="45">
        <v>0</v>
      </c>
      <c r="S143" s="46">
        <f>MIN(R143,Q143)*_xlfn.XLOOKUP($A143,tbl_Catalog[sku_id],tbl_Catalog[master_carton_qty])</f>
        <v>0</v>
      </c>
      <c r="T143" s="41">
        <f>IF(_xlfn.XLOOKUP($A143,tbl_Catalog[sku_id],tbl_Catalog[master_carton_qty])&gt;0,S143/_xlfn.XLOOKUP($A143,tbl_Catalog[sku_id],tbl_Catalog[master_carton_qty]),0)</f>
        <v>0</v>
      </c>
      <c r="U143" s="41">
        <v>0</v>
      </c>
      <c r="V143" s="41">
        <v>50</v>
      </c>
      <c r="W143" s="41">
        <v>0</v>
      </c>
      <c r="X143" s="30">
        <f>T143*_xlfn.XLOOKUP($A143,tbl_Catalog[sku_id],tbl_Catalog[carton_volume_cbm])</f>
        <v>0</v>
      </c>
      <c r="Y143" s="31">
        <f t="shared" si="22"/>
        <v>37.257463589296947</v>
      </c>
      <c r="Z143" s="47">
        <f t="shared" si="23"/>
        <v>0</v>
      </c>
      <c r="AA143" s="4" t="str">
        <f t="shared" si="24"/>
        <v>EXEMPT / AUDIT</v>
      </c>
      <c r="AB143" s="4" t="str">
        <f>IF(MOD(S143,_xlfn.XLOOKUP($A143,tbl_Catalog[sku_id],tbl_Catalog[master_carton_qty]))=0,"CARTON OK","CHECK")</f>
        <v>CARTON OK</v>
      </c>
    </row>
    <row r="144" spans="1:28" x14ac:dyDescent="0.3">
      <c r="A144" s="36" t="s">
        <v>618</v>
      </c>
      <c r="B144" s="16" t="s">
        <v>592</v>
      </c>
      <c r="C144" s="4" t="s">
        <v>188</v>
      </c>
      <c r="D144" s="41">
        <v>17</v>
      </c>
      <c r="E144" s="42">
        <f t="shared" si="20"/>
        <v>67</v>
      </c>
      <c r="F144" s="31">
        <v>28.69</v>
      </c>
      <c r="G144" s="31">
        <v>46.97</v>
      </c>
      <c r="H144" s="43">
        <f t="shared" si="21"/>
        <v>46.97</v>
      </c>
      <c r="I144" s="32">
        <v>0</v>
      </c>
      <c r="J144" s="4" t="b">
        <v>1</v>
      </c>
      <c r="K144" s="39">
        <v>1.2</v>
      </c>
      <c r="L144" s="30">
        <v>1.62</v>
      </c>
      <c r="M144" s="41">
        <v>9.0399999999999991</v>
      </c>
      <c r="N144" s="44">
        <v>10</v>
      </c>
      <c r="O144" s="41">
        <v>26.8</v>
      </c>
      <c r="P144" s="41">
        <v>52</v>
      </c>
      <c r="Q144" s="41">
        <v>2</v>
      </c>
      <c r="R144" s="45">
        <v>0</v>
      </c>
      <c r="S144" s="46">
        <f>MIN(R144,Q144)*_xlfn.XLOOKUP($A144,tbl_Catalog[sku_id],tbl_Catalog[master_carton_qty])</f>
        <v>0</v>
      </c>
      <c r="T144" s="41">
        <f>IF(_xlfn.XLOOKUP($A144,tbl_Catalog[sku_id],tbl_Catalog[master_carton_qty])&gt;0,S144/_xlfn.XLOOKUP($A144,tbl_Catalog[sku_id],tbl_Catalog[master_carton_qty]),0)</f>
        <v>0</v>
      </c>
      <c r="U144" s="41">
        <v>0</v>
      </c>
      <c r="V144" s="41">
        <v>50</v>
      </c>
      <c r="W144" s="41">
        <v>0</v>
      </c>
      <c r="X144" s="30">
        <f>T144*_xlfn.XLOOKUP($A144,tbl_Catalog[sku_id],tbl_Catalog[carton_volume_cbm])</f>
        <v>0</v>
      </c>
      <c r="Y144" s="31">
        <f t="shared" si="22"/>
        <v>55.833333333333336</v>
      </c>
      <c r="Z144" s="47">
        <f t="shared" si="23"/>
        <v>0</v>
      </c>
      <c r="AA144" s="4" t="str">
        <f t="shared" si="24"/>
        <v>SHIELDED</v>
      </c>
      <c r="AB144" s="4" t="str">
        <f>IF(MOD(S144,_xlfn.XLOOKUP($A144,tbl_Catalog[sku_id],tbl_Catalog[master_carton_qty]))=0,"CARTON OK","CHECK")</f>
        <v>CARTON OK</v>
      </c>
    </row>
    <row r="145" spans="1:28" x14ac:dyDescent="0.3">
      <c r="A145" s="36" t="s">
        <v>621</v>
      </c>
      <c r="B145" s="16" t="s">
        <v>592</v>
      </c>
      <c r="C145" s="4" t="s">
        <v>184</v>
      </c>
      <c r="D145" s="41">
        <v>95</v>
      </c>
      <c r="E145" s="42">
        <f t="shared" si="20"/>
        <v>245</v>
      </c>
      <c r="F145" s="31">
        <v>31.93</v>
      </c>
      <c r="G145" s="31">
        <v>37.58</v>
      </c>
      <c r="H145" s="43">
        <f t="shared" si="21"/>
        <v>37.58</v>
      </c>
      <c r="I145" s="32">
        <v>0</v>
      </c>
      <c r="J145" s="4" t="b">
        <v>0</v>
      </c>
      <c r="K145" s="39">
        <v>5.4667000000000003</v>
      </c>
      <c r="L145" s="30">
        <v>2.7332999999999998</v>
      </c>
      <c r="M145" s="41">
        <v>31.79</v>
      </c>
      <c r="N145" s="44">
        <v>175</v>
      </c>
      <c r="O145" s="41">
        <v>251.53</v>
      </c>
      <c r="P145" s="41">
        <v>366.33</v>
      </c>
      <c r="Q145" s="41">
        <v>2</v>
      </c>
      <c r="R145" s="45">
        <v>3</v>
      </c>
      <c r="S145" s="46">
        <f>MIN(R145,Q145)*_xlfn.XLOOKUP($A145,tbl_Catalog[sku_id],tbl_Catalog[master_carton_qty])</f>
        <v>100</v>
      </c>
      <c r="T145" s="41">
        <f>IF(_xlfn.XLOOKUP($A145,tbl_Catalog[sku_id],tbl_Catalog[master_carton_qty])&gt;0,S145/_xlfn.XLOOKUP($A145,tbl_Catalog[sku_id],tbl_Catalog[master_carton_qty]),0)</f>
        <v>2</v>
      </c>
      <c r="U145" s="41">
        <v>0</v>
      </c>
      <c r="V145" s="41">
        <v>0</v>
      </c>
      <c r="W145" s="41">
        <v>150</v>
      </c>
      <c r="X145" s="30">
        <f>T145*_xlfn.XLOOKUP($A145,tbl_Catalog[sku_id],tbl_Catalog[carton_volume_cbm])</f>
        <v>0.19800000000000001</v>
      </c>
      <c r="Y145" s="31">
        <f t="shared" si="22"/>
        <v>63.109371284321433</v>
      </c>
      <c r="Z145" s="47">
        <f t="shared" si="23"/>
        <v>0</v>
      </c>
      <c r="AA145" s="4" t="str">
        <f t="shared" si="24"/>
        <v>SHIELDED</v>
      </c>
      <c r="AB145" s="4" t="str">
        <f>IF(MOD(S145,_xlfn.XLOOKUP($A145,tbl_Catalog[sku_id],tbl_Catalog[master_carton_qty]))=0,"CARTON OK","CHECK")</f>
        <v>CARTON OK</v>
      </c>
    </row>
    <row r="146" spans="1:28" x14ac:dyDescent="0.3">
      <c r="A146" s="36" t="s">
        <v>624</v>
      </c>
      <c r="B146" s="16" t="s">
        <v>592</v>
      </c>
      <c r="C146" s="4" t="s">
        <v>184</v>
      </c>
      <c r="D146" s="41">
        <v>17</v>
      </c>
      <c r="E146" s="42">
        <f t="shared" si="20"/>
        <v>17</v>
      </c>
      <c r="F146" s="31">
        <v>23.52</v>
      </c>
      <c r="G146" s="31">
        <v>31.07</v>
      </c>
      <c r="H146" s="43">
        <f t="shared" si="21"/>
        <v>31.07</v>
      </c>
      <c r="I146" s="32">
        <v>0</v>
      </c>
      <c r="J146" s="4" t="b">
        <v>1</v>
      </c>
      <c r="K146" s="39">
        <v>2.1667000000000001</v>
      </c>
      <c r="L146" s="30">
        <v>1.0832999999999999</v>
      </c>
      <c r="M146" s="41">
        <v>12.6</v>
      </c>
      <c r="N146" s="44">
        <v>13</v>
      </c>
      <c r="O146" s="41">
        <v>43.33</v>
      </c>
      <c r="P146" s="41">
        <v>88.83</v>
      </c>
      <c r="Q146" s="41">
        <v>5</v>
      </c>
      <c r="R146" s="45">
        <v>2</v>
      </c>
      <c r="S146" s="46">
        <f>MIN(R146,Q146)*_xlfn.XLOOKUP($A146,tbl_Catalog[sku_id],tbl_Catalog[master_carton_qty])</f>
        <v>100</v>
      </c>
      <c r="T146" s="41">
        <f>IF(_xlfn.XLOOKUP($A146,tbl_Catalog[sku_id],tbl_Catalog[master_carton_qty])&gt;0,S146/_xlfn.XLOOKUP($A146,tbl_Catalog[sku_id],tbl_Catalog[master_carton_qty]),0)</f>
        <v>2</v>
      </c>
      <c r="U146" s="41">
        <v>0</v>
      </c>
      <c r="V146" s="41">
        <v>0</v>
      </c>
      <c r="W146" s="41">
        <v>0</v>
      </c>
      <c r="X146" s="30">
        <f>T146*_xlfn.XLOOKUP($A146,tbl_Catalog[sku_id],tbl_Catalog[carton_volume_cbm])</f>
        <v>0.19800000000000001</v>
      </c>
      <c r="Y146" s="31">
        <f t="shared" si="22"/>
        <v>53.999169243550099</v>
      </c>
      <c r="Z146" s="47">
        <f t="shared" si="23"/>
        <v>0</v>
      </c>
      <c r="AA146" s="4" t="str">
        <f t="shared" si="24"/>
        <v>SHIELDED</v>
      </c>
      <c r="AB146" s="4" t="str">
        <f>IF(MOD(S146,_xlfn.XLOOKUP($A146,tbl_Catalog[sku_id],tbl_Catalog[master_carton_qty]))=0,"CARTON OK","CHECK")</f>
        <v>CARTON OK</v>
      </c>
    </row>
    <row r="147" spans="1:28" x14ac:dyDescent="0.3">
      <c r="A147" s="36" t="s">
        <v>627</v>
      </c>
      <c r="B147" s="16" t="s">
        <v>592</v>
      </c>
      <c r="C147" s="4" t="s">
        <v>184</v>
      </c>
      <c r="D147" s="41">
        <v>79</v>
      </c>
      <c r="E147" s="42">
        <f t="shared" si="20"/>
        <v>79</v>
      </c>
      <c r="F147" s="31">
        <v>68.819999999999993</v>
      </c>
      <c r="G147" s="31">
        <v>55.68</v>
      </c>
      <c r="H147" s="43">
        <f t="shared" si="21"/>
        <v>68.819999999999993</v>
      </c>
      <c r="I147" s="32">
        <v>0</v>
      </c>
      <c r="J147" s="4" t="b">
        <v>1</v>
      </c>
      <c r="K147" s="39">
        <v>1.5</v>
      </c>
      <c r="L147" s="30">
        <v>0.75</v>
      </c>
      <c r="M147" s="41">
        <v>8.7200000000000006</v>
      </c>
      <c r="N147" s="44">
        <v>9</v>
      </c>
      <c r="O147" s="41">
        <v>30</v>
      </c>
      <c r="P147" s="41">
        <v>61.5</v>
      </c>
      <c r="Q147" s="41">
        <v>2</v>
      </c>
      <c r="R147" s="45">
        <v>0</v>
      </c>
      <c r="S147" s="46">
        <f>MIN(R147,Q147)*_xlfn.XLOOKUP($A147,tbl_Catalog[sku_id],tbl_Catalog[master_carton_qty])</f>
        <v>0</v>
      </c>
      <c r="T147" s="41">
        <f>IF(_xlfn.XLOOKUP($A147,tbl_Catalog[sku_id],tbl_Catalog[master_carton_qty])&gt;0,S147/_xlfn.XLOOKUP($A147,tbl_Catalog[sku_id],tbl_Catalog[master_carton_qty]),0)</f>
        <v>0</v>
      </c>
      <c r="U147" s="41">
        <v>0</v>
      </c>
      <c r="V147" s="41">
        <v>0</v>
      </c>
      <c r="W147" s="41">
        <v>0</v>
      </c>
      <c r="X147" s="30">
        <f>T147*_xlfn.XLOOKUP($A147,tbl_Catalog[sku_id],tbl_Catalog[carton_volume_cbm])</f>
        <v>0</v>
      </c>
      <c r="Y147" s="31">
        <f t="shared" si="22"/>
        <v>52.666666666666664</v>
      </c>
      <c r="Z147" s="47">
        <f t="shared" si="23"/>
        <v>0</v>
      </c>
      <c r="AA147" s="4" t="str">
        <f t="shared" si="24"/>
        <v>SHIELDED</v>
      </c>
      <c r="AB147" s="4" t="str">
        <f>IF(MOD(S147,_xlfn.XLOOKUP($A147,tbl_Catalog[sku_id],tbl_Catalog[master_carton_qty]))=0,"CARTON OK","CHECK")</f>
        <v>CARTON OK</v>
      </c>
    </row>
    <row r="148" spans="1:28" x14ac:dyDescent="0.3">
      <c r="A148" s="36" t="s">
        <v>630</v>
      </c>
      <c r="B148" s="16" t="s">
        <v>592</v>
      </c>
      <c r="C148" s="4" t="s">
        <v>188</v>
      </c>
      <c r="D148" s="41">
        <v>51</v>
      </c>
      <c r="E148" s="42">
        <f t="shared" si="20"/>
        <v>51</v>
      </c>
      <c r="F148" s="31">
        <v>80.61</v>
      </c>
      <c r="G148" s="31">
        <v>55.53</v>
      </c>
      <c r="H148" s="43">
        <f t="shared" si="21"/>
        <v>80.61</v>
      </c>
      <c r="I148" s="32">
        <v>0</v>
      </c>
      <c r="J148" s="4" t="b">
        <v>1</v>
      </c>
      <c r="K148" s="39">
        <v>0.76670000000000005</v>
      </c>
      <c r="L148" s="30">
        <v>0.95809999999999995</v>
      </c>
      <c r="M148" s="41">
        <v>5.46</v>
      </c>
      <c r="N148" s="44">
        <v>6</v>
      </c>
      <c r="O148" s="41">
        <v>16.73</v>
      </c>
      <c r="P148" s="41">
        <v>32.83</v>
      </c>
      <c r="Q148" s="41">
        <v>1</v>
      </c>
      <c r="R148" s="45">
        <v>0</v>
      </c>
      <c r="S148" s="46">
        <f>MIN(R148,Q148)*_xlfn.XLOOKUP($A148,tbl_Catalog[sku_id],tbl_Catalog[master_carton_qty])</f>
        <v>0</v>
      </c>
      <c r="T148" s="41">
        <f>IF(_xlfn.XLOOKUP($A148,tbl_Catalog[sku_id],tbl_Catalog[master_carton_qty])&gt;0,S148/_xlfn.XLOOKUP($A148,tbl_Catalog[sku_id],tbl_Catalog[master_carton_qty]),0)</f>
        <v>0</v>
      </c>
      <c r="U148" s="41">
        <v>0</v>
      </c>
      <c r="V148" s="41">
        <v>0</v>
      </c>
      <c r="W148" s="41">
        <v>0</v>
      </c>
      <c r="X148" s="30">
        <f>T148*_xlfn.XLOOKUP($A148,tbl_Catalog[sku_id],tbl_Catalog[carton_volume_cbm])</f>
        <v>0</v>
      </c>
      <c r="Y148" s="31">
        <f t="shared" si="22"/>
        <v>66.518847006651882</v>
      </c>
      <c r="Z148" s="47">
        <f t="shared" si="23"/>
        <v>0</v>
      </c>
      <c r="AA148" s="4" t="str">
        <f t="shared" si="24"/>
        <v>SHIELDED</v>
      </c>
      <c r="AB148" s="4" t="str">
        <f>IF(MOD(S148,_xlfn.XLOOKUP($A148,tbl_Catalog[sku_id],tbl_Catalog[master_carton_qty]))=0,"CARTON OK","CHECK")</f>
        <v>CARTON OK</v>
      </c>
    </row>
    <row r="149" spans="1:28" x14ac:dyDescent="0.3">
      <c r="A149" s="36" t="s">
        <v>633</v>
      </c>
      <c r="B149" s="16" t="s">
        <v>592</v>
      </c>
      <c r="C149" s="4" t="s">
        <v>179</v>
      </c>
      <c r="D149" s="41">
        <v>54</v>
      </c>
      <c r="E149" s="42">
        <f t="shared" si="20"/>
        <v>54</v>
      </c>
      <c r="F149" s="31">
        <v>38.9</v>
      </c>
      <c r="G149" s="31">
        <v>31.9</v>
      </c>
      <c r="H149" s="43">
        <f t="shared" si="21"/>
        <v>38.9</v>
      </c>
      <c r="I149" s="32">
        <v>0</v>
      </c>
      <c r="J149" s="4" t="b">
        <v>1</v>
      </c>
      <c r="K149" s="39">
        <v>2.3666999999999998</v>
      </c>
      <c r="L149" s="30">
        <v>1.6093</v>
      </c>
      <c r="M149" s="41">
        <v>15.31</v>
      </c>
      <c r="N149" s="44">
        <v>16</v>
      </c>
      <c r="O149" s="41">
        <v>49.13</v>
      </c>
      <c r="P149" s="41">
        <v>98.83</v>
      </c>
      <c r="Q149" s="41">
        <v>0</v>
      </c>
      <c r="R149" s="45">
        <v>0</v>
      </c>
      <c r="S149" s="46">
        <f>MIN(R149,Q149)*_xlfn.XLOOKUP($A149,tbl_Catalog[sku_id],tbl_Catalog[master_carton_qty])</f>
        <v>0</v>
      </c>
      <c r="T149" s="41">
        <f>IF(_xlfn.XLOOKUP($A149,tbl_Catalog[sku_id],tbl_Catalog[master_carton_qty])&gt;0,S149/_xlfn.XLOOKUP($A149,tbl_Catalog[sku_id],tbl_Catalog[master_carton_qty]),0)</f>
        <v>0</v>
      </c>
      <c r="U149" s="41">
        <v>0</v>
      </c>
      <c r="V149" s="41">
        <v>0</v>
      </c>
      <c r="W149" s="41">
        <v>0</v>
      </c>
      <c r="X149" s="30">
        <f>T149*_xlfn.XLOOKUP($A149,tbl_Catalog[sku_id],tbl_Catalog[carton_volume_cbm])</f>
        <v>0</v>
      </c>
      <c r="Y149" s="31">
        <f t="shared" si="22"/>
        <v>22.816580048168337</v>
      </c>
      <c r="Z149" s="47">
        <f t="shared" si="23"/>
        <v>0</v>
      </c>
      <c r="AA149" s="4" t="str">
        <f t="shared" si="24"/>
        <v>SHIELDED</v>
      </c>
      <c r="AB149" s="4" t="str">
        <f>IF(MOD(S149,_xlfn.XLOOKUP($A149,tbl_Catalog[sku_id],tbl_Catalog[master_carton_qty]))=0,"CARTON OK","CHECK")</f>
        <v>CARTON OK</v>
      </c>
    </row>
    <row r="150" spans="1:28" x14ac:dyDescent="0.3">
      <c r="A150" s="36" t="s">
        <v>636</v>
      </c>
      <c r="B150" s="16" t="s">
        <v>592</v>
      </c>
      <c r="C150" s="4" t="s">
        <v>188</v>
      </c>
      <c r="D150" s="41">
        <v>0</v>
      </c>
      <c r="E150" s="42">
        <f t="shared" si="20"/>
        <v>0</v>
      </c>
      <c r="F150" s="31">
        <v>10.73</v>
      </c>
      <c r="G150" s="31">
        <v>41.65</v>
      </c>
      <c r="H150" s="43">
        <f t="shared" si="21"/>
        <v>41.65</v>
      </c>
      <c r="I150" s="32">
        <v>0</v>
      </c>
      <c r="J150" s="4" t="b">
        <v>1</v>
      </c>
      <c r="K150" s="39">
        <v>0.58320000000000005</v>
      </c>
      <c r="L150" s="30">
        <v>0.7873</v>
      </c>
      <c r="M150" s="41">
        <v>4.3899999999999997</v>
      </c>
      <c r="N150" s="44">
        <v>5</v>
      </c>
      <c r="O150" s="41">
        <v>13.16</v>
      </c>
      <c r="P150" s="41">
        <v>25.41</v>
      </c>
      <c r="Q150" s="41">
        <v>5</v>
      </c>
      <c r="R150" s="45">
        <v>1</v>
      </c>
      <c r="S150" s="46">
        <f>MIN(R150,Q150)*_xlfn.XLOOKUP($A150,tbl_Catalog[sku_id],tbl_Catalog[master_carton_qty])</f>
        <v>50</v>
      </c>
      <c r="T150" s="41">
        <f>IF(_xlfn.XLOOKUP($A150,tbl_Catalog[sku_id],tbl_Catalog[master_carton_qty])&gt;0,S150/_xlfn.XLOOKUP($A150,tbl_Catalog[sku_id],tbl_Catalog[master_carton_qty]),0)</f>
        <v>1</v>
      </c>
      <c r="U150" s="41">
        <v>0</v>
      </c>
      <c r="V150" s="41">
        <v>0</v>
      </c>
      <c r="W150" s="41">
        <v>0</v>
      </c>
      <c r="X150" s="30">
        <f>T150*_xlfn.XLOOKUP($A150,tbl_Catalog[sku_id],tbl_Catalog[carton_volume_cbm])</f>
        <v>9.9000000000000005E-2</v>
      </c>
      <c r="Y150" s="31">
        <f t="shared" si="22"/>
        <v>85.733882030178322</v>
      </c>
      <c r="Z150" s="47">
        <f t="shared" si="23"/>
        <v>0</v>
      </c>
      <c r="AA150" s="4" t="str">
        <f t="shared" si="24"/>
        <v>SHIELDED</v>
      </c>
      <c r="AB150" s="4" t="str">
        <f>IF(MOD(S150,_xlfn.XLOOKUP($A150,tbl_Catalog[sku_id],tbl_Catalog[master_carton_qty]))=0,"CARTON OK","CHECK")</f>
        <v>CARTON OK</v>
      </c>
    </row>
    <row r="151" spans="1:28" x14ac:dyDescent="0.3">
      <c r="A151" s="36" t="s">
        <v>639</v>
      </c>
      <c r="B151" s="16" t="s">
        <v>592</v>
      </c>
      <c r="C151" s="4" t="s">
        <v>188</v>
      </c>
      <c r="D151" s="41">
        <v>71</v>
      </c>
      <c r="E151" s="42">
        <f t="shared" si="20"/>
        <v>71</v>
      </c>
      <c r="F151" s="31">
        <v>38.549999999999997</v>
      </c>
      <c r="G151" s="31">
        <v>52.13</v>
      </c>
      <c r="H151" s="43">
        <f t="shared" si="21"/>
        <v>52.13</v>
      </c>
      <c r="I151" s="32">
        <v>0</v>
      </c>
      <c r="J151" s="4" t="b">
        <v>1</v>
      </c>
      <c r="K151" s="39">
        <v>1.2666999999999999</v>
      </c>
      <c r="L151" s="30">
        <v>1.71</v>
      </c>
      <c r="M151" s="41">
        <v>9.5399999999999991</v>
      </c>
      <c r="N151" s="44">
        <v>10</v>
      </c>
      <c r="O151" s="41">
        <v>27.73</v>
      </c>
      <c r="P151" s="41">
        <v>54.33</v>
      </c>
      <c r="Q151" s="41">
        <v>1</v>
      </c>
      <c r="R151" s="45">
        <v>0</v>
      </c>
      <c r="S151" s="46">
        <f>MIN(R151,Q151)*_xlfn.XLOOKUP($A151,tbl_Catalog[sku_id],tbl_Catalog[master_carton_qty])</f>
        <v>0</v>
      </c>
      <c r="T151" s="41">
        <f>IF(_xlfn.XLOOKUP($A151,tbl_Catalog[sku_id],tbl_Catalog[master_carton_qty])&gt;0,S151/_xlfn.XLOOKUP($A151,tbl_Catalog[sku_id],tbl_Catalog[master_carton_qty]),0)</f>
        <v>0</v>
      </c>
      <c r="U151" s="41">
        <v>0</v>
      </c>
      <c r="V151" s="41">
        <v>0</v>
      </c>
      <c r="W151" s="41">
        <v>0</v>
      </c>
      <c r="X151" s="30">
        <f>T151*_xlfn.XLOOKUP($A151,tbl_Catalog[sku_id],tbl_Catalog[carton_volume_cbm])</f>
        <v>0</v>
      </c>
      <c r="Y151" s="31">
        <f t="shared" si="22"/>
        <v>56.051156548511884</v>
      </c>
      <c r="Z151" s="47">
        <f t="shared" si="23"/>
        <v>0</v>
      </c>
      <c r="AA151" s="4" t="str">
        <f t="shared" si="24"/>
        <v>SHIELDED</v>
      </c>
      <c r="AB151" s="4" t="str">
        <f>IF(MOD(S151,_xlfn.XLOOKUP($A151,tbl_Catalog[sku_id],tbl_Catalog[master_carton_qty]))=0,"CARTON OK","CHECK")</f>
        <v>CARTON OK</v>
      </c>
    </row>
    <row r="152" spans="1:28" x14ac:dyDescent="0.3">
      <c r="A152" s="36" t="s">
        <v>642</v>
      </c>
      <c r="B152" s="16" t="s">
        <v>592</v>
      </c>
      <c r="C152" s="4" t="s">
        <v>188</v>
      </c>
      <c r="D152" s="41">
        <v>169</v>
      </c>
      <c r="E152" s="42">
        <f t="shared" si="20"/>
        <v>169</v>
      </c>
      <c r="F152" s="31">
        <v>265.35000000000002</v>
      </c>
      <c r="G152" s="31">
        <v>333.58</v>
      </c>
      <c r="H152" s="43">
        <f t="shared" si="21"/>
        <v>333.58</v>
      </c>
      <c r="I152" s="32">
        <v>0</v>
      </c>
      <c r="J152" s="4" t="b">
        <v>1</v>
      </c>
      <c r="K152" s="39">
        <v>0.66669999999999996</v>
      </c>
      <c r="L152" s="30">
        <v>0.9</v>
      </c>
      <c r="M152" s="41">
        <v>5.0199999999999996</v>
      </c>
      <c r="N152" s="44">
        <v>6</v>
      </c>
      <c r="O152" s="41">
        <v>15.33</v>
      </c>
      <c r="P152" s="41">
        <v>29.33</v>
      </c>
      <c r="Q152" s="41">
        <v>1</v>
      </c>
      <c r="R152" s="45">
        <v>0</v>
      </c>
      <c r="S152" s="46">
        <f>MIN(R152,Q152)*_xlfn.XLOOKUP($A152,tbl_Catalog[sku_id],tbl_Catalog[master_carton_qty])</f>
        <v>0</v>
      </c>
      <c r="T152" s="41">
        <f>IF(_xlfn.XLOOKUP($A152,tbl_Catalog[sku_id],tbl_Catalog[master_carton_qty])&gt;0,S152/_xlfn.XLOOKUP($A152,tbl_Catalog[sku_id],tbl_Catalog[master_carton_qty]),0)</f>
        <v>0</v>
      </c>
      <c r="U152" s="41">
        <v>0</v>
      </c>
      <c r="V152" s="41">
        <v>0</v>
      </c>
      <c r="W152" s="41">
        <v>0</v>
      </c>
      <c r="X152" s="30">
        <f>T152*_xlfn.XLOOKUP($A152,tbl_Catalog[sku_id],tbl_Catalog[carton_volume_cbm])</f>
        <v>0</v>
      </c>
      <c r="Y152" s="31">
        <f t="shared" si="22"/>
        <v>253.48732563371834</v>
      </c>
      <c r="Z152" s="47">
        <f t="shared" si="23"/>
        <v>0</v>
      </c>
      <c r="AA152" s="4" t="str">
        <f t="shared" si="24"/>
        <v>SHIELDED</v>
      </c>
      <c r="AB152" s="4" t="str">
        <f>IF(MOD(S152,_xlfn.XLOOKUP($A152,tbl_Catalog[sku_id],tbl_Catalog[master_carton_qty]))=0,"CARTON OK","CHECK")</f>
        <v>CARTON OK</v>
      </c>
    </row>
    <row r="153" spans="1:28" x14ac:dyDescent="0.3">
      <c r="A153" s="36" t="s">
        <v>645</v>
      </c>
      <c r="B153" s="16" t="s">
        <v>646</v>
      </c>
      <c r="C153" s="4" t="s">
        <v>184</v>
      </c>
      <c r="D153" s="41">
        <v>152</v>
      </c>
      <c r="E153" s="42">
        <f t="shared" si="20"/>
        <v>152</v>
      </c>
      <c r="F153" s="31">
        <v>34.409999999999997</v>
      </c>
      <c r="G153" s="31">
        <v>39.06</v>
      </c>
      <c r="H153" s="43">
        <f t="shared" si="21"/>
        <v>39.06</v>
      </c>
      <c r="I153" s="32">
        <v>0</v>
      </c>
      <c r="J153" s="4" t="b">
        <v>0</v>
      </c>
      <c r="K153" s="39">
        <v>3.8</v>
      </c>
      <c r="L153" s="30">
        <v>1.9</v>
      </c>
      <c r="M153" s="41">
        <v>22.1</v>
      </c>
      <c r="N153" s="44">
        <v>122</v>
      </c>
      <c r="O153" s="41">
        <v>175.2</v>
      </c>
      <c r="P153" s="41">
        <v>255</v>
      </c>
      <c r="Q153" s="41">
        <v>11</v>
      </c>
      <c r="R153" s="45">
        <v>3</v>
      </c>
      <c r="S153" s="46">
        <f>MIN(R153,Q153)*_xlfn.XLOOKUP($A153,tbl_Catalog[sku_id],tbl_Catalog[master_carton_qty])</f>
        <v>150</v>
      </c>
      <c r="T153" s="41">
        <f>IF(_xlfn.XLOOKUP($A153,tbl_Catalog[sku_id],tbl_Catalog[master_carton_qty])&gt;0,S153/_xlfn.XLOOKUP($A153,tbl_Catalog[sku_id],tbl_Catalog[master_carton_qty]),0)</f>
        <v>3</v>
      </c>
      <c r="U153" s="41">
        <v>0</v>
      </c>
      <c r="V153" s="41">
        <v>0</v>
      </c>
      <c r="W153" s="41">
        <v>0</v>
      </c>
      <c r="X153" s="30">
        <f>T153*_xlfn.XLOOKUP($A153,tbl_Catalog[sku_id],tbl_Catalog[carton_volume_cbm])</f>
        <v>0.252</v>
      </c>
      <c r="Y153" s="31">
        <f t="shared" si="22"/>
        <v>79.473684210526315</v>
      </c>
      <c r="Z153" s="47">
        <f t="shared" si="23"/>
        <v>0</v>
      </c>
      <c r="AA153" s="4" t="str">
        <f t="shared" si="24"/>
        <v>SHIELDED</v>
      </c>
      <c r="AB153" s="4" t="str">
        <f>IF(MOD(S153,_xlfn.XLOOKUP($A153,tbl_Catalog[sku_id],tbl_Catalog[master_carton_qty]))=0,"CARTON OK","CHECK")</f>
        <v>CARTON OK</v>
      </c>
    </row>
    <row r="154" spans="1:28" x14ac:dyDescent="0.3">
      <c r="A154" s="36" t="s">
        <v>651</v>
      </c>
      <c r="B154" s="16" t="s">
        <v>646</v>
      </c>
      <c r="C154" s="4" t="s">
        <v>184</v>
      </c>
      <c r="D154" s="41">
        <v>94</v>
      </c>
      <c r="E154" s="42">
        <f t="shared" si="20"/>
        <v>194</v>
      </c>
      <c r="F154" s="31">
        <v>50.62</v>
      </c>
      <c r="G154" s="31">
        <v>57.39</v>
      </c>
      <c r="H154" s="43">
        <f t="shared" si="21"/>
        <v>57.39</v>
      </c>
      <c r="I154" s="32">
        <v>0</v>
      </c>
      <c r="J154" s="4" t="b">
        <v>1</v>
      </c>
      <c r="K154" s="39">
        <v>2.5333000000000001</v>
      </c>
      <c r="L154" s="30">
        <v>1.2666999999999999</v>
      </c>
      <c r="M154" s="41">
        <v>14.73</v>
      </c>
      <c r="N154" s="44">
        <v>15</v>
      </c>
      <c r="O154" s="41">
        <v>50.47</v>
      </c>
      <c r="P154" s="41">
        <v>103.67</v>
      </c>
      <c r="Q154" s="41">
        <v>6</v>
      </c>
      <c r="R154" s="45">
        <v>0</v>
      </c>
      <c r="S154" s="46">
        <f>MIN(R154,Q154)*_xlfn.XLOOKUP($A154,tbl_Catalog[sku_id],tbl_Catalog[master_carton_qty])</f>
        <v>0</v>
      </c>
      <c r="T154" s="41">
        <f>IF(_xlfn.XLOOKUP($A154,tbl_Catalog[sku_id],tbl_Catalog[master_carton_qty])&gt;0,S154/_xlfn.XLOOKUP($A154,tbl_Catalog[sku_id],tbl_Catalog[master_carton_qty]),0)</f>
        <v>0</v>
      </c>
      <c r="U154" s="41">
        <v>0</v>
      </c>
      <c r="V154" s="41">
        <v>100</v>
      </c>
      <c r="W154" s="41">
        <v>0</v>
      </c>
      <c r="X154" s="30">
        <f>T154*_xlfn.XLOOKUP($A154,tbl_Catalog[sku_id],tbl_Catalog[carton_volume_cbm])</f>
        <v>0</v>
      </c>
      <c r="Y154" s="31">
        <f t="shared" si="22"/>
        <v>76.579954999407889</v>
      </c>
      <c r="Z154" s="47">
        <f t="shared" si="23"/>
        <v>0</v>
      </c>
      <c r="AA154" s="4" t="str">
        <f t="shared" si="24"/>
        <v>SHIELDED</v>
      </c>
      <c r="AB154" s="4" t="str">
        <f>IF(MOD(S154,_xlfn.XLOOKUP($A154,tbl_Catalog[sku_id],tbl_Catalog[master_carton_qty]))=0,"CARTON OK","CHECK")</f>
        <v>CARTON OK</v>
      </c>
    </row>
    <row r="155" spans="1:28" x14ac:dyDescent="0.3">
      <c r="A155" s="36" t="s">
        <v>654</v>
      </c>
      <c r="B155" s="16" t="s">
        <v>646</v>
      </c>
      <c r="C155" s="4" t="s">
        <v>188</v>
      </c>
      <c r="D155" s="41">
        <v>52</v>
      </c>
      <c r="E155" s="42">
        <f t="shared" si="20"/>
        <v>52</v>
      </c>
      <c r="F155" s="31">
        <v>41.65</v>
      </c>
      <c r="G155" s="31">
        <v>53.33</v>
      </c>
      <c r="H155" s="43">
        <f t="shared" si="21"/>
        <v>53.33</v>
      </c>
      <c r="I155" s="32">
        <v>0</v>
      </c>
      <c r="J155" s="4" t="b">
        <v>1</v>
      </c>
      <c r="K155" s="39">
        <v>0.86670000000000003</v>
      </c>
      <c r="L155" s="30">
        <v>1.17</v>
      </c>
      <c r="M155" s="41">
        <v>6.53</v>
      </c>
      <c r="N155" s="44">
        <v>7</v>
      </c>
      <c r="O155" s="41">
        <v>19.13</v>
      </c>
      <c r="P155" s="41">
        <v>37.33</v>
      </c>
      <c r="Q155" s="41">
        <v>3</v>
      </c>
      <c r="R155" s="45">
        <v>0</v>
      </c>
      <c r="S155" s="46">
        <f>MIN(R155,Q155)*_xlfn.XLOOKUP($A155,tbl_Catalog[sku_id],tbl_Catalog[master_carton_qty])</f>
        <v>0</v>
      </c>
      <c r="T155" s="41">
        <f>IF(_xlfn.XLOOKUP($A155,tbl_Catalog[sku_id],tbl_Catalog[master_carton_qty])&gt;0,S155/_xlfn.XLOOKUP($A155,tbl_Catalog[sku_id],tbl_Catalog[master_carton_qty]),0)</f>
        <v>0</v>
      </c>
      <c r="U155" s="41">
        <v>0</v>
      </c>
      <c r="V155" s="41">
        <v>0</v>
      </c>
      <c r="W155" s="41">
        <v>0</v>
      </c>
      <c r="X155" s="30">
        <f>T155*_xlfn.XLOOKUP($A155,tbl_Catalog[sku_id],tbl_Catalog[carton_volume_cbm])</f>
        <v>0</v>
      </c>
      <c r="Y155" s="31">
        <f t="shared" si="22"/>
        <v>59.99769239644629</v>
      </c>
      <c r="Z155" s="47">
        <f t="shared" si="23"/>
        <v>0</v>
      </c>
      <c r="AA155" s="4" t="str">
        <f t="shared" si="24"/>
        <v>SHIELDED</v>
      </c>
      <c r="AB155" s="4" t="str">
        <f>IF(MOD(S155,_xlfn.XLOOKUP($A155,tbl_Catalog[sku_id],tbl_Catalog[master_carton_qty]))=0,"CARTON OK","CHECK")</f>
        <v>CARTON OK</v>
      </c>
    </row>
    <row r="156" spans="1:28" x14ac:dyDescent="0.3">
      <c r="A156" s="36" t="s">
        <v>657</v>
      </c>
      <c r="B156" s="16" t="s">
        <v>646</v>
      </c>
      <c r="C156" s="4" t="s">
        <v>188</v>
      </c>
      <c r="D156" s="41">
        <v>37</v>
      </c>
      <c r="E156" s="42">
        <f t="shared" si="20"/>
        <v>37</v>
      </c>
      <c r="F156" s="31">
        <v>65.05</v>
      </c>
      <c r="G156" s="31">
        <v>71.27</v>
      </c>
      <c r="H156" s="43">
        <f t="shared" si="21"/>
        <v>71.27</v>
      </c>
      <c r="I156" s="32">
        <v>0</v>
      </c>
      <c r="J156" s="4" t="b">
        <v>1</v>
      </c>
      <c r="K156" s="39">
        <v>0.73329999999999995</v>
      </c>
      <c r="L156" s="30">
        <v>0.99</v>
      </c>
      <c r="M156" s="41">
        <v>5.52</v>
      </c>
      <c r="N156" s="44">
        <v>6</v>
      </c>
      <c r="O156" s="41">
        <v>16.27</v>
      </c>
      <c r="P156" s="41">
        <v>31.67</v>
      </c>
      <c r="Q156" s="41">
        <v>4</v>
      </c>
      <c r="R156" s="45">
        <v>0</v>
      </c>
      <c r="S156" s="46">
        <f>MIN(R156,Q156)*_xlfn.XLOOKUP($A156,tbl_Catalog[sku_id],tbl_Catalog[master_carton_qty])</f>
        <v>0</v>
      </c>
      <c r="T156" s="41">
        <f>IF(_xlfn.XLOOKUP($A156,tbl_Catalog[sku_id],tbl_Catalog[master_carton_qty])&gt;0,S156/_xlfn.XLOOKUP($A156,tbl_Catalog[sku_id],tbl_Catalog[master_carton_qty]),0)</f>
        <v>0</v>
      </c>
      <c r="U156" s="41">
        <v>0</v>
      </c>
      <c r="V156" s="41">
        <v>0</v>
      </c>
      <c r="W156" s="41">
        <v>0</v>
      </c>
      <c r="X156" s="30">
        <f>T156*_xlfn.XLOOKUP($A156,tbl_Catalog[sku_id],tbl_Catalog[carton_volume_cbm])</f>
        <v>0</v>
      </c>
      <c r="Y156" s="31">
        <f t="shared" si="22"/>
        <v>50.456838947224874</v>
      </c>
      <c r="Z156" s="47">
        <f t="shared" si="23"/>
        <v>0</v>
      </c>
      <c r="AA156" s="4" t="str">
        <f t="shared" si="24"/>
        <v>SHIELDED</v>
      </c>
      <c r="AB156" s="4" t="str">
        <f>IF(MOD(S156,_xlfn.XLOOKUP($A156,tbl_Catalog[sku_id],tbl_Catalog[master_carton_qty]))=0,"CARTON OK","CHECK")</f>
        <v>CARTON OK</v>
      </c>
    </row>
    <row r="157" spans="1:28" x14ac:dyDescent="0.3">
      <c r="A157" s="36" t="s">
        <v>660</v>
      </c>
      <c r="B157" s="16" t="s">
        <v>646</v>
      </c>
      <c r="C157" s="4" t="s">
        <v>184</v>
      </c>
      <c r="D157" s="41">
        <v>248</v>
      </c>
      <c r="E157" s="42">
        <f t="shared" si="20"/>
        <v>248</v>
      </c>
      <c r="F157" s="31">
        <v>25.26</v>
      </c>
      <c r="G157" s="31">
        <v>44.5</v>
      </c>
      <c r="H157" s="43">
        <f t="shared" si="21"/>
        <v>44.5</v>
      </c>
      <c r="I157" s="32">
        <v>0</v>
      </c>
      <c r="J157" s="4" t="b">
        <v>0</v>
      </c>
      <c r="K157" s="39">
        <v>4.7</v>
      </c>
      <c r="L157" s="30">
        <v>2.35</v>
      </c>
      <c r="M157" s="41">
        <v>27.33</v>
      </c>
      <c r="N157" s="44">
        <v>151</v>
      </c>
      <c r="O157" s="41">
        <v>216.8</v>
      </c>
      <c r="P157" s="41">
        <v>315.5</v>
      </c>
      <c r="Q157" s="41">
        <v>5</v>
      </c>
      <c r="R157" s="45">
        <v>0</v>
      </c>
      <c r="S157" s="46">
        <f>MIN(R157,Q157)*_xlfn.XLOOKUP($A157,tbl_Catalog[sku_id],tbl_Catalog[master_carton_qty])</f>
        <v>0</v>
      </c>
      <c r="T157" s="41">
        <f>IF(_xlfn.XLOOKUP($A157,tbl_Catalog[sku_id],tbl_Catalog[master_carton_qty])&gt;0,S157/_xlfn.XLOOKUP($A157,tbl_Catalog[sku_id],tbl_Catalog[master_carton_qty]),0)</f>
        <v>0</v>
      </c>
      <c r="U157" s="41">
        <v>0</v>
      </c>
      <c r="V157" s="41">
        <v>0</v>
      </c>
      <c r="W157" s="41">
        <v>0</v>
      </c>
      <c r="X157" s="30">
        <f>T157*_xlfn.XLOOKUP($A157,tbl_Catalog[sku_id],tbl_Catalog[carton_volume_cbm])</f>
        <v>0</v>
      </c>
      <c r="Y157" s="31">
        <f t="shared" si="22"/>
        <v>52.765957446808507</v>
      </c>
      <c r="Z157" s="47">
        <f t="shared" si="23"/>
        <v>0</v>
      </c>
      <c r="AA157" s="4" t="str">
        <f t="shared" si="24"/>
        <v>SHIELDED</v>
      </c>
      <c r="AB157" s="4" t="str">
        <f>IF(MOD(S157,_xlfn.XLOOKUP($A157,tbl_Catalog[sku_id],tbl_Catalog[master_carton_qty]))=0,"CARTON OK","CHECK")</f>
        <v>CARTON OK</v>
      </c>
    </row>
    <row r="158" spans="1:28" x14ac:dyDescent="0.3">
      <c r="A158" s="36" t="s">
        <v>663</v>
      </c>
      <c r="B158" s="16" t="s">
        <v>646</v>
      </c>
      <c r="C158" s="4" t="s">
        <v>184</v>
      </c>
      <c r="D158" s="41">
        <v>158</v>
      </c>
      <c r="E158" s="42">
        <f t="shared" si="20"/>
        <v>158</v>
      </c>
      <c r="F158" s="31">
        <v>40.21</v>
      </c>
      <c r="G158" s="31">
        <v>45.13</v>
      </c>
      <c r="H158" s="43">
        <f t="shared" si="21"/>
        <v>45.13</v>
      </c>
      <c r="I158" s="32">
        <v>0</v>
      </c>
      <c r="J158" s="4" t="b">
        <v>0</v>
      </c>
      <c r="K158" s="39">
        <v>4.2</v>
      </c>
      <c r="L158" s="30">
        <v>2.1</v>
      </c>
      <c r="M158" s="41">
        <v>24.43</v>
      </c>
      <c r="N158" s="44">
        <v>135</v>
      </c>
      <c r="O158" s="41">
        <v>193.8</v>
      </c>
      <c r="P158" s="41">
        <v>282</v>
      </c>
      <c r="Q158" s="41">
        <v>0</v>
      </c>
      <c r="R158" s="45">
        <v>3</v>
      </c>
      <c r="S158" s="46">
        <f>MIN(R158,Q158)*_xlfn.XLOOKUP($A158,tbl_Catalog[sku_id],tbl_Catalog[master_carton_qty])</f>
        <v>0</v>
      </c>
      <c r="T158" s="41">
        <f>IF(_xlfn.XLOOKUP($A158,tbl_Catalog[sku_id],tbl_Catalog[master_carton_qty])&gt;0,S158/_xlfn.XLOOKUP($A158,tbl_Catalog[sku_id],tbl_Catalog[master_carton_qty]),0)</f>
        <v>0</v>
      </c>
      <c r="U158" s="41">
        <v>0</v>
      </c>
      <c r="V158" s="41">
        <v>0</v>
      </c>
      <c r="W158" s="41">
        <v>0</v>
      </c>
      <c r="X158" s="30">
        <f>T158*_xlfn.XLOOKUP($A158,tbl_Catalog[sku_id],tbl_Catalog[carton_volume_cbm])</f>
        <v>0</v>
      </c>
      <c r="Y158" s="31">
        <f t="shared" si="22"/>
        <v>37.61904761904762</v>
      </c>
      <c r="Z158" s="47">
        <f t="shared" si="23"/>
        <v>0</v>
      </c>
      <c r="AA158" s="4" t="str">
        <f t="shared" si="24"/>
        <v>SHIELDED</v>
      </c>
      <c r="AB158" s="4" t="str">
        <f>IF(MOD(S158,_xlfn.XLOOKUP($A158,tbl_Catalog[sku_id],tbl_Catalog[master_carton_qty]))=0,"CARTON OK","CHECK")</f>
        <v>CARTON OK</v>
      </c>
    </row>
    <row r="159" spans="1:28" x14ac:dyDescent="0.3">
      <c r="A159" s="36" t="s">
        <v>666</v>
      </c>
      <c r="B159" s="16" t="s">
        <v>646</v>
      </c>
      <c r="C159" s="4" t="s">
        <v>184</v>
      </c>
      <c r="D159" s="41">
        <v>55</v>
      </c>
      <c r="E159" s="42">
        <f t="shared" si="20"/>
        <v>155</v>
      </c>
      <c r="F159" s="31">
        <v>32.200000000000003</v>
      </c>
      <c r="G159" s="31">
        <v>41.22</v>
      </c>
      <c r="H159" s="43">
        <f t="shared" si="21"/>
        <v>41.22</v>
      </c>
      <c r="I159" s="32">
        <v>0</v>
      </c>
      <c r="J159" s="4" t="b">
        <v>1</v>
      </c>
      <c r="K159" s="39">
        <v>2.1667000000000001</v>
      </c>
      <c r="L159" s="30">
        <v>1.0832999999999999</v>
      </c>
      <c r="M159" s="41">
        <v>12.6</v>
      </c>
      <c r="N159" s="44">
        <v>13</v>
      </c>
      <c r="O159" s="41">
        <v>43.33</v>
      </c>
      <c r="P159" s="41">
        <v>88.83</v>
      </c>
      <c r="Q159" s="41">
        <v>1</v>
      </c>
      <c r="R159" s="45">
        <v>0</v>
      </c>
      <c r="S159" s="46">
        <f>MIN(R159,Q159)*_xlfn.XLOOKUP($A159,tbl_Catalog[sku_id],tbl_Catalog[master_carton_qty])</f>
        <v>0</v>
      </c>
      <c r="T159" s="41">
        <f>IF(_xlfn.XLOOKUP($A159,tbl_Catalog[sku_id],tbl_Catalog[master_carton_qty])&gt;0,S159/_xlfn.XLOOKUP($A159,tbl_Catalog[sku_id],tbl_Catalog[master_carton_qty]),0)</f>
        <v>0</v>
      </c>
      <c r="U159" s="41">
        <v>0</v>
      </c>
      <c r="V159" s="41">
        <v>0</v>
      </c>
      <c r="W159" s="41">
        <v>100</v>
      </c>
      <c r="X159" s="30">
        <f>T159*_xlfn.XLOOKUP($A159,tbl_Catalog[sku_id],tbl_Catalog[carton_volume_cbm])</f>
        <v>0</v>
      </c>
      <c r="Y159" s="31">
        <f t="shared" si="22"/>
        <v>71.537360963677486</v>
      </c>
      <c r="Z159" s="47">
        <f t="shared" si="23"/>
        <v>0</v>
      </c>
      <c r="AA159" s="4" t="str">
        <f t="shared" si="24"/>
        <v>SHIELDED</v>
      </c>
      <c r="AB159" s="4" t="str">
        <f>IF(MOD(S159,_xlfn.XLOOKUP($A159,tbl_Catalog[sku_id],tbl_Catalog[master_carton_qty]))=0,"CARTON OK","CHECK")</f>
        <v>CARTON OK</v>
      </c>
    </row>
    <row r="160" spans="1:28" x14ac:dyDescent="0.3">
      <c r="A160" s="36" t="s">
        <v>669</v>
      </c>
      <c r="B160" s="16" t="s">
        <v>646</v>
      </c>
      <c r="C160" s="4" t="s">
        <v>179</v>
      </c>
      <c r="D160" s="41">
        <v>97</v>
      </c>
      <c r="E160" s="42">
        <f t="shared" si="20"/>
        <v>197</v>
      </c>
      <c r="F160" s="31">
        <v>32.950000000000003</v>
      </c>
      <c r="G160" s="31">
        <v>45</v>
      </c>
      <c r="H160" s="43">
        <f t="shared" si="21"/>
        <v>45</v>
      </c>
      <c r="I160" s="32">
        <v>0</v>
      </c>
      <c r="J160" s="4" t="b">
        <v>1</v>
      </c>
      <c r="K160" s="39">
        <v>2.5</v>
      </c>
      <c r="L160" s="30">
        <v>1.7</v>
      </c>
      <c r="M160" s="41">
        <v>16.18</v>
      </c>
      <c r="N160" s="44">
        <v>17</v>
      </c>
      <c r="O160" s="41">
        <v>52</v>
      </c>
      <c r="P160" s="41">
        <v>104.5</v>
      </c>
      <c r="Q160" s="41">
        <v>1</v>
      </c>
      <c r="R160" s="45">
        <v>0</v>
      </c>
      <c r="S160" s="46">
        <f>MIN(R160,Q160)*_xlfn.XLOOKUP($A160,tbl_Catalog[sku_id],tbl_Catalog[master_carton_qty])</f>
        <v>0</v>
      </c>
      <c r="T160" s="41">
        <f>IF(_xlfn.XLOOKUP($A160,tbl_Catalog[sku_id],tbl_Catalog[master_carton_qty])&gt;0,S160/_xlfn.XLOOKUP($A160,tbl_Catalog[sku_id],tbl_Catalog[master_carton_qty]),0)</f>
        <v>0</v>
      </c>
      <c r="U160" s="41">
        <v>0</v>
      </c>
      <c r="V160" s="41">
        <v>0</v>
      </c>
      <c r="W160" s="41">
        <v>100</v>
      </c>
      <c r="X160" s="30">
        <f>T160*_xlfn.XLOOKUP($A160,tbl_Catalog[sku_id],tbl_Catalog[carton_volume_cbm])</f>
        <v>0</v>
      </c>
      <c r="Y160" s="31">
        <f t="shared" si="22"/>
        <v>78.8</v>
      </c>
      <c r="Z160" s="47">
        <f t="shared" si="23"/>
        <v>0</v>
      </c>
      <c r="AA160" s="4" t="str">
        <f t="shared" si="24"/>
        <v>SHIELDED</v>
      </c>
      <c r="AB160" s="4" t="str">
        <f>IF(MOD(S160,_xlfn.XLOOKUP($A160,tbl_Catalog[sku_id],tbl_Catalog[master_carton_qty]))=0,"CARTON OK","CHECK")</f>
        <v>CARTON OK</v>
      </c>
    </row>
    <row r="161" spans="1:28" x14ac:dyDescent="0.3">
      <c r="A161" s="36" t="s">
        <v>672</v>
      </c>
      <c r="B161" s="16" t="s">
        <v>646</v>
      </c>
      <c r="C161" s="4" t="s">
        <v>184</v>
      </c>
      <c r="D161" s="41">
        <v>116</v>
      </c>
      <c r="E161" s="42">
        <f t="shared" si="20"/>
        <v>116</v>
      </c>
      <c r="F161" s="31">
        <v>38.299999999999997</v>
      </c>
      <c r="G161" s="31">
        <v>33.770000000000003</v>
      </c>
      <c r="H161" s="43">
        <f t="shared" si="21"/>
        <v>38.299999999999997</v>
      </c>
      <c r="I161" s="32">
        <v>0</v>
      </c>
      <c r="J161" s="4" t="b">
        <v>0</v>
      </c>
      <c r="K161" s="39">
        <v>4.8333000000000004</v>
      </c>
      <c r="L161" s="30">
        <v>2.3793000000000002</v>
      </c>
      <c r="M161" s="41">
        <v>27.99</v>
      </c>
      <c r="N161" s="44">
        <v>155</v>
      </c>
      <c r="O161" s="41">
        <v>222.67</v>
      </c>
      <c r="P161" s="41">
        <v>324.17</v>
      </c>
      <c r="Q161" s="41">
        <v>0</v>
      </c>
      <c r="R161" s="45">
        <v>5</v>
      </c>
      <c r="S161" s="46">
        <f>MIN(R161,Q161)*_xlfn.XLOOKUP($A161,tbl_Catalog[sku_id],tbl_Catalog[master_carton_qty])</f>
        <v>0</v>
      </c>
      <c r="T161" s="41">
        <f>IF(_xlfn.XLOOKUP($A161,tbl_Catalog[sku_id],tbl_Catalog[master_carton_qty])&gt;0,S161/_xlfn.XLOOKUP($A161,tbl_Catalog[sku_id],tbl_Catalog[master_carton_qty]),0)</f>
        <v>0</v>
      </c>
      <c r="U161" s="41">
        <v>0</v>
      </c>
      <c r="V161" s="41">
        <v>0</v>
      </c>
      <c r="W161" s="41">
        <v>0</v>
      </c>
      <c r="X161" s="30">
        <f>T161*_xlfn.XLOOKUP($A161,tbl_Catalog[sku_id],tbl_Catalog[carton_volume_cbm])</f>
        <v>0</v>
      </c>
      <c r="Y161" s="31">
        <f t="shared" si="22"/>
        <v>24.000165518382882</v>
      </c>
      <c r="Z161" s="47">
        <f t="shared" si="23"/>
        <v>0</v>
      </c>
      <c r="AA161" s="4" t="str">
        <f t="shared" si="24"/>
        <v>SHIELDED</v>
      </c>
      <c r="AB161" s="4" t="str">
        <f>IF(MOD(S161,_xlfn.XLOOKUP($A161,tbl_Catalog[sku_id],tbl_Catalog[master_carton_qty]))=0,"CARTON OK","CHECK")</f>
        <v>CARTON OK</v>
      </c>
    </row>
    <row r="162" spans="1:28" x14ac:dyDescent="0.3">
      <c r="A162" s="36" t="s">
        <v>675</v>
      </c>
      <c r="B162" s="16" t="s">
        <v>646</v>
      </c>
      <c r="C162" s="4" t="s">
        <v>184</v>
      </c>
      <c r="D162" s="41">
        <v>68</v>
      </c>
      <c r="E162" s="42">
        <f t="shared" si="20"/>
        <v>168</v>
      </c>
      <c r="F162" s="31">
        <v>45.33</v>
      </c>
      <c r="G162" s="31">
        <v>48.35</v>
      </c>
      <c r="H162" s="43">
        <f t="shared" si="21"/>
        <v>48.35</v>
      </c>
      <c r="I162" s="32">
        <v>0</v>
      </c>
      <c r="J162" s="4" t="b">
        <v>1</v>
      </c>
      <c r="K162" s="39">
        <v>2.2999999999999998</v>
      </c>
      <c r="L162" s="30">
        <v>1.1499999999999999</v>
      </c>
      <c r="M162" s="41">
        <v>13.38</v>
      </c>
      <c r="N162" s="44">
        <v>14</v>
      </c>
      <c r="O162" s="41">
        <v>46.2</v>
      </c>
      <c r="P162" s="41">
        <v>94.5</v>
      </c>
      <c r="Q162" s="41">
        <v>1</v>
      </c>
      <c r="R162" s="45">
        <v>0</v>
      </c>
      <c r="S162" s="46">
        <f>MIN(R162,Q162)*_xlfn.XLOOKUP($A162,tbl_Catalog[sku_id],tbl_Catalog[master_carton_qty])</f>
        <v>0</v>
      </c>
      <c r="T162" s="41">
        <f>IF(_xlfn.XLOOKUP($A162,tbl_Catalog[sku_id],tbl_Catalog[master_carton_qty])&gt;0,S162/_xlfn.XLOOKUP($A162,tbl_Catalog[sku_id],tbl_Catalog[master_carton_qty]),0)</f>
        <v>0</v>
      </c>
      <c r="U162" s="41">
        <v>0</v>
      </c>
      <c r="V162" s="41">
        <v>100</v>
      </c>
      <c r="W162" s="41">
        <v>0</v>
      </c>
      <c r="X162" s="30">
        <f>T162*_xlfn.XLOOKUP($A162,tbl_Catalog[sku_id],tbl_Catalog[carton_volume_cbm])</f>
        <v>0</v>
      </c>
      <c r="Y162" s="31">
        <f t="shared" si="22"/>
        <v>73.043478260869577</v>
      </c>
      <c r="Z162" s="47">
        <f t="shared" si="23"/>
        <v>0</v>
      </c>
      <c r="AA162" s="4" t="str">
        <f t="shared" si="24"/>
        <v>SHIELDED</v>
      </c>
      <c r="AB162" s="4" t="str">
        <f>IF(MOD(S162,_xlfn.XLOOKUP($A162,tbl_Catalog[sku_id],tbl_Catalog[master_carton_qty]))=0,"CARTON OK","CHECK")</f>
        <v>CARTON OK</v>
      </c>
    </row>
    <row r="163" spans="1:28" x14ac:dyDescent="0.3">
      <c r="A163" s="36" t="s">
        <v>678</v>
      </c>
      <c r="B163" s="16" t="s">
        <v>646</v>
      </c>
      <c r="C163" s="4" t="s">
        <v>179</v>
      </c>
      <c r="D163" s="41">
        <v>137</v>
      </c>
      <c r="E163" s="42">
        <f t="shared" si="20"/>
        <v>137</v>
      </c>
      <c r="F163" s="31">
        <v>62.86</v>
      </c>
      <c r="G163" s="31">
        <v>50</v>
      </c>
      <c r="H163" s="43">
        <f t="shared" si="21"/>
        <v>62.86</v>
      </c>
      <c r="I163" s="32">
        <v>0</v>
      </c>
      <c r="J163" s="4" t="b">
        <v>1</v>
      </c>
      <c r="K163" s="39">
        <v>2.1333000000000002</v>
      </c>
      <c r="L163" s="30">
        <v>1.4507000000000001</v>
      </c>
      <c r="M163" s="41">
        <v>13.8</v>
      </c>
      <c r="N163" s="44">
        <v>14</v>
      </c>
      <c r="O163" s="41">
        <v>43.87</v>
      </c>
      <c r="P163" s="41">
        <v>88.67</v>
      </c>
      <c r="Q163" s="41">
        <v>5</v>
      </c>
      <c r="R163" s="45">
        <v>0</v>
      </c>
      <c r="S163" s="46">
        <f>MIN(R163,Q163)*_xlfn.XLOOKUP($A163,tbl_Catalog[sku_id],tbl_Catalog[master_carton_qty])</f>
        <v>0</v>
      </c>
      <c r="T163" s="41">
        <f>IF(_xlfn.XLOOKUP($A163,tbl_Catalog[sku_id],tbl_Catalog[master_carton_qty])&gt;0,S163/_xlfn.XLOOKUP($A163,tbl_Catalog[sku_id],tbl_Catalog[master_carton_qty]),0)</f>
        <v>0</v>
      </c>
      <c r="U163" s="41">
        <v>0</v>
      </c>
      <c r="V163" s="41">
        <v>0</v>
      </c>
      <c r="W163" s="41">
        <v>0</v>
      </c>
      <c r="X163" s="30">
        <f>T163*_xlfn.XLOOKUP($A163,tbl_Catalog[sku_id],tbl_Catalog[carton_volume_cbm])</f>
        <v>0</v>
      </c>
      <c r="Y163" s="31">
        <f t="shared" si="22"/>
        <v>64.219753433647398</v>
      </c>
      <c r="Z163" s="47">
        <f t="shared" si="23"/>
        <v>0</v>
      </c>
      <c r="AA163" s="4" t="str">
        <f t="shared" si="24"/>
        <v>SHIELDED</v>
      </c>
      <c r="AB163" s="4" t="str">
        <f>IF(MOD(S163,_xlfn.XLOOKUP($A163,tbl_Catalog[sku_id],tbl_Catalog[master_carton_qty]))=0,"CARTON OK","CHECK")</f>
        <v>CARTON OK</v>
      </c>
    </row>
    <row r="164" spans="1:28" x14ac:dyDescent="0.3">
      <c r="A164" s="36" t="s">
        <v>681</v>
      </c>
      <c r="B164" s="16" t="s">
        <v>646</v>
      </c>
      <c r="C164" s="4" t="s">
        <v>188</v>
      </c>
      <c r="D164" s="41">
        <v>62</v>
      </c>
      <c r="E164" s="42">
        <f t="shared" si="20"/>
        <v>62</v>
      </c>
      <c r="F164" s="31">
        <v>57.63</v>
      </c>
      <c r="G164" s="31">
        <v>58.14</v>
      </c>
      <c r="H164" s="43">
        <f t="shared" si="21"/>
        <v>58.14</v>
      </c>
      <c r="I164" s="32">
        <v>0</v>
      </c>
      <c r="J164" s="4" t="b">
        <v>1</v>
      </c>
      <c r="K164" s="39">
        <v>1</v>
      </c>
      <c r="L164" s="30">
        <v>1.35</v>
      </c>
      <c r="M164" s="41">
        <v>7.53</v>
      </c>
      <c r="N164" s="44">
        <v>8</v>
      </c>
      <c r="O164" s="41">
        <v>22</v>
      </c>
      <c r="P164" s="41">
        <v>43</v>
      </c>
      <c r="Q164" s="41">
        <v>2</v>
      </c>
      <c r="R164" s="45">
        <v>0</v>
      </c>
      <c r="S164" s="46">
        <f>MIN(R164,Q164)*_xlfn.XLOOKUP($A164,tbl_Catalog[sku_id],tbl_Catalog[master_carton_qty])</f>
        <v>0</v>
      </c>
      <c r="T164" s="41">
        <f>IF(_xlfn.XLOOKUP($A164,tbl_Catalog[sku_id],tbl_Catalog[master_carton_qty])&gt;0,S164/_xlfn.XLOOKUP($A164,tbl_Catalog[sku_id],tbl_Catalog[master_carton_qty]),0)</f>
        <v>0</v>
      </c>
      <c r="U164" s="41">
        <v>0</v>
      </c>
      <c r="V164" s="41">
        <v>0</v>
      </c>
      <c r="W164" s="41">
        <v>0</v>
      </c>
      <c r="X164" s="30">
        <f>T164*_xlfn.XLOOKUP($A164,tbl_Catalog[sku_id],tbl_Catalog[carton_volume_cbm])</f>
        <v>0</v>
      </c>
      <c r="Y164" s="31">
        <f t="shared" si="22"/>
        <v>62</v>
      </c>
      <c r="Z164" s="47">
        <f t="shared" si="23"/>
        <v>0</v>
      </c>
      <c r="AA164" s="4" t="str">
        <f t="shared" si="24"/>
        <v>SHIELDED</v>
      </c>
      <c r="AB164" s="4" t="str">
        <f>IF(MOD(S164,_xlfn.XLOOKUP($A164,tbl_Catalog[sku_id],tbl_Catalog[master_carton_qty]))=0,"CARTON OK","CHECK")</f>
        <v>CARTON OK</v>
      </c>
    </row>
  </sheetData>
  <mergeCells count="2">
    <mergeCell ref="A2:AB2"/>
    <mergeCell ref="A1:AB1"/>
  </mergeCells>
  <conditionalFormatting sqref="H5:I164">
    <cfRule type="expression" dxfId="8" priority="1">
      <formula>AND($H5&lt;28,$I5&gt;0)</formula>
    </cfRule>
  </conditionalFormatting>
  <conditionalFormatting sqref="Y5:Y164">
    <cfRule type="cellIs" dxfId="7" priority="3" operator="greaterThan">
      <formula>120</formula>
    </cfRule>
  </conditionalFormatting>
  <conditionalFormatting sqref="AB5:AB164">
    <cfRule type="expression" dxfId="6" priority="2">
      <formula>$AB5="CHECK"</formula>
    </cfRule>
  </conditionalFormatting>
  <printOptions horizontalCentered="1"/>
  <pageMargins left="0.75" right="0.75" top="1" bottom="1" header="0.5" footer="0.5"/>
  <pageSetup fitToHeight="0" orientation="landscape"/>
  <tableParts count="1">
    <tablePart r:id="rId1"/>
  </tablePart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tabColor rgb="FFBF8F00"/>
    <pageSetUpPr fitToPage="1"/>
  </sheetPr>
  <dimension ref="A1:AC164"/>
  <sheetViews>
    <sheetView showGridLines="0" workbookViewId="0">
      <pane xSplit="2" ySplit="4" topLeftCell="C5" activePane="bottomRight" state="frozen"/>
      <selection pane="topRight"/>
      <selection pane="bottomLeft"/>
      <selection pane="bottomRight"/>
    </sheetView>
  </sheetViews>
  <sheetFormatPr baseColWidth="10" defaultColWidth="8.88671875" defaultRowHeight="14.4" x14ac:dyDescent="0.3"/>
  <cols>
    <col min="1" max="1" width="28" customWidth="1"/>
    <col min="2" max="2" width="20" customWidth="1"/>
    <col min="3" max="3" width="8" customWidth="1"/>
    <col min="4" max="4" width="11" customWidth="1"/>
    <col min="5" max="5" width="10" customWidth="1"/>
    <col min="6" max="7" width="11" customWidth="1"/>
    <col min="8" max="8" width="9" customWidth="1"/>
    <col min="9" max="9" width="8" customWidth="1"/>
    <col min="10" max="10" width="7" customWidth="1"/>
    <col min="11" max="11" width="8" customWidth="1"/>
    <col min="12" max="12" width="11" customWidth="1"/>
    <col min="13" max="13" width="10" customWidth="1"/>
    <col min="14" max="14" width="9" customWidth="1"/>
    <col min="15" max="15" width="10" customWidth="1"/>
    <col min="16" max="16" width="13" customWidth="1"/>
    <col min="17" max="17" width="11" customWidth="1"/>
    <col min="18" max="23" width="10" customWidth="1"/>
    <col min="24" max="24" width="22" customWidth="1"/>
    <col min="25" max="25" width="10" customWidth="1"/>
    <col min="26" max="26" width="12" customWidth="1"/>
    <col min="27" max="29" width="10" customWidth="1"/>
  </cols>
  <sheetData>
    <row r="1" spans="1:29" ht="28.05" customHeight="1" x14ac:dyDescent="0.3">
      <c r="A1" s="51" t="s">
        <v>734</v>
      </c>
      <c r="B1" s="52"/>
      <c r="C1" s="52"/>
      <c r="D1" s="52"/>
      <c r="E1" s="52"/>
      <c r="F1" s="52"/>
      <c r="G1" s="52"/>
      <c r="H1" s="52"/>
      <c r="I1" s="52"/>
      <c r="J1" s="52"/>
      <c r="K1" s="52"/>
      <c r="L1" s="52"/>
      <c r="M1" s="52"/>
      <c r="N1" s="52"/>
      <c r="O1" s="52"/>
      <c r="P1" s="52"/>
      <c r="Q1" s="52"/>
      <c r="R1" s="52"/>
      <c r="S1" s="52"/>
      <c r="T1" s="52"/>
      <c r="U1" s="52"/>
      <c r="V1" s="52"/>
      <c r="W1" s="52"/>
      <c r="X1" s="52"/>
      <c r="Y1" s="52"/>
      <c r="Z1" s="52"/>
      <c r="AA1" s="52"/>
      <c r="AB1" s="52"/>
      <c r="AC1" s="52"/>
    </row>
    <row r="2" spans="1:29" ht="19.95" customHeight="1" x14ac:dyDescent="0.3">
      <c r="A2" s="58" t="s">
        <v>735</v>
      </c>
      <c r="B2" s="57"/>
      <c r="C2" s="57"/>
      <c r="D2" s="57"/>
      <c r="E2" s="57"/>
      <c r="F2" s="57"/>
      <c r="G2" s="57"/>
      <c r="H2" s="57"/>
      <c r="I2" s="57"/>
      <c r="J2" s="57"/>
      <c r="K2" s="57"/>
      <c r="L2" s="57"/>
      <c r="M2" s="57"/>
      <c r="N2" s="57"/>
      <c r="O2" s="57"/>
      <c r="P2" s="57"/>
      <c r="Q2" s="57"/>
      <c r="R2" s="57"/>
      <c r="S2" s="57"/>
      <c r="T2" s="57"/>
      <c r="U2" s="57"/>
      <c r="V2" s="57"/>
      <c r="W2" s="57"/>
      <c r="X2" s="57"/>
      <c r="Y2" s="57"/>
      <c r="Z2" s="57"/>
      <c r="AA2" s="57"/>
      <c r="AB2" s="57"/>
      <c r="AC2" s="57"/>
    </row>
    <row r="4" spans="1:29" ht="37.950000000000003" customHeight="1" x14ac:dyDescent="0.3">
      <c r="A4" s="27" t="s">
        <v>140</v>
      </c>
      <c r="B4" s="27" t="s">
        <v>141</v>
      </c>
      <c r="C4" s="27" t="s">
        <v>686</v>
      </c>
      <c r="D4" s="27" t="s">
        <v>736</v>
      </c>
      <c r="E4" s="27" t="s">
        <v>737</v>
      </c>
      <c r="F4" s="27" t="s">
        <v>738</v>
      </c>
      <c r="G4" s="27" t="s">
        <v>739</v>
      </c>
      <c r="H4" s="27" t="s">
        <v>702</v>
      </c>
      <c r="I4" s="27" t="s">
        <v>740</v>
      </c>
      <c r="J4" s="27" t="s">
        <v>741</v>
      </c>
      <c r="K4" s="27" t="s">
        <v>742</v>
      </c>
      <c r="L4" s="27" t="s">
        <v>743</v>
      </c>
      <c r="M4" s="27" t="s">
        <v>744</v>
      </c>
      <c r="N4" s="27" t="s">
        <v>745</v>
      </c>
      <c r="O4" s="27" t="s">
        <v>746</v>
      </c>
      <c r="P4" s="27" t="s">
        <v>747</v>
      </c>
      <c r="Q4" s="27" t="s">
        <v>748</v>
      </c>
      <c r="R4" s="27" t="s">
        <v>749</v>
      </c>
      <c r="S4" s="27" t="s">
        <v>750</v>
      </c>
      <c r="T4" s="27" t="s">
        <v>751</v>
      </c>
      <c r="U4" s="27" t="s">
        <v>752</v>
      </c>
      <c r="V4" s="27" t="s">
        <v>753</v>
      </c>
      <c r="W4" s="27" t="s">
        <v>754</v>
      </c>
      <c r="X4" s="27" t="s">
        <v>8</v>
      </c>
      <c r="Y4" s="27" t="s">
        <v>755</v>
      </c>
      <c r="Z4" s="27" t="s">
        <v>756</v>
      </c>
      <c r="AA4" s="27" t="s">
        <v>20</v>
      </c>
      <c r="AB4" s="27" t="s">
        <v>757</v>
      </c>
      <c r="AC4" s="27" t="s">
        <v>758</v>
      </c>
    </row>
    <row r="5" spans="1:29" x14ac:dyDescent="0.3">
      <c r="A5" s="36" t="s">
        <v>164</v>
      </c>
      <c r="B5" s="16" t="s">
        <v>165</v>
      </c>
      <c r="C5" s="4" t="s">
        <v>172</v>
      </c>
      <c r="D5" s="41">
        <v>0</v>
      </c>
      <c r="E5" s="41">
        <v>0</v>
      </c>
      <c r="F5" s="42">
        <f>'03_FBA_Nivel1_Transfer'!E5+D5-E5</f>
        <v>210</v>
      </c>
      <c r="G5" s="39">
        <f>'02_Demand_Unconstraining'!R5</f>
        <v>19.379799999999999</v>
      </c>
      <c r="H5" s="30">
        <f>'02_Demand_Unconstraining'!S5</f>
        <v>6.1658999999999997</v>
      </c>
      <c r="I5" s="29">
        <f>_xlfn.XLOOKUP($A5,tbl_Catalog[sku_id],tbl_Catalog[z_score])</f>
        <v>1.881</v>
      </c>
      <c r="J5" s="41">
        <f t="shared" ref="J5:J36" si="0">ROUNDUP(I5*SQRT(L2_Mean*(H5^2)+(G5^2)*(L2_Std^2)),0)</f>
        <v>379</v>
      </c>
      <c r="K5" s="41">
        <f>'03_FBA_Nivel1_Transfer'!N5</f>
        <v>451</v>
      </c>
      <c r="L5" s="41">
        <f t="shared" ref="L5:L36" si="1">_xlfn.CEILING.MATH(G5*L2_Mean+J5+K5,1)</f>
        <v>2284</v>
      </c>
      <c r="M5" s="44">
        <f t="shared" ref="M5:M36" si="2">_xlfn.CEILING.MATH(G5*(L2_Mean+45)+J5+K5,1)</f>
        <v>3156</v>
      </c>
      <c r="N5" s="41">
        <f>_xlfn.CEILING.MATH(_xlfn.XLOOKUP($A5,tbl_Catalog[sku_id],tbl_Catalog[sku_moq_units])/_xlfn.XLOOKUP($A5,tbl_Catalog[sku_id],tbl_Catalog[master_carton_qty]),1)</f>
        <v>3</v>
      </c>
      <c r="O5" s="31">
        <f t="shared" ref="O5:O36" si="3">IF(G5&gt;0,(F5-L5)/G5,999)</f>
        <v>-107.01864828326401</v>
      </c>
      <c r="P5" s="48">
        <f>_xlfn.LET(_xlpm.ip_sys,$F5,_xlpm.rop_sys,$L5,_xlpm.s_max,$M5,_xlpm.m_qty,_xlfn.XLOOKUP($A5,tbl_Catalog[sku_id],tbl_Catalog[master_carton_qty]),_xlpm.moq,_xlfn.XLOOKUP($A5,tbl_Catalog[sku_id],tbl_Catalog[sku_moq_units]),IF(_xlpm.ip_sys&lt;=_xlpm.rop_sys,_xlfn.CEILING.MATH(MAX(_xlpm.s_max-_xlpm.ip_sys,_xlpm.moq),_xlpm.m_qty),0))</f>
        <v>3000</v>
      </c>
      <c r="Q5" s="30">
        <f>IF(P5&gt;0,(P5/_xlfn.XLOOKUP($A5,tbl_Catalog[sku_id],tbl_Catalog[master_carton_qty]))*_xlfn.XLOOKUP($A5,tbl_Catalog[sku_id],tbl_Catalog[carton_volume_cbm]),0)</f>
        <v>1.7999999999999998</v>
      </c>
      <c r="R5" s="41">
        <v>2400</v>
      </c>
      <c r="S5" s="41">
        <v>0</v>
      </c>
      <c r="T5" s="41">
        <f>S5*_xlfn.XLOOKUP($A5,tbl_Catalog[sku_id],tbl_Catalog[master_carton_qty])</f>
        <v>0</v>
      </c>
      <c r="U5" s="46">
        <f t="shared" ref="U5:U36" si="4">R5+T5</f>
        <v>2400</v>
      </c>
      <c r="V5" s="41">
        <f>IF(_xlfn.XLOOKUP($A5,tbl_Catalog[sku_id],tbl_Catalog[master_carton_qty])&gt;0,U5/_xlfn.XLOOKUP($A5,tbl_Catalog[sku_id],tbl_Catalog[master_carton_qty]),0)</f>
        <v>24</v>
      </c>
      <c r="W5" s="38">
        <f>V5*_xlfn.XLOOKUP($A5,tbl_Catalog[sku_id],tbl_Catalog[carton_volume_cbm])</f>
        <v>1.44</v>
      </c>
      <c r="X5" s="4" t="str">
        <f t="shared" ref="X5:X36" si="5">IF(U5=0,"DEFERRED / NO PO",IF(S5&gt;0,"BASE + TIER-A TOP-UP","BASE LOAD"))</f>
        <v>BASE LOAD</v>
      </c>
      <c r="Y5" s="4" t="str">
        <f>IF(U5=0,"N/A",IF(AND(MOD(U5,_xlfn.XLOOKUP($A5,tbl_Catalog[sku_id],tbl_Catalog[master_carton_qty]))=0,U5&gt;=_xlfn.XLOOKUP($A5,tbl_Catalog[sku_id],tbl_Catalog[sku_moq_units])),"MOQ OK","CHECK"))</f>
        <v>MOQ OK</v>
      </c>
      <c r="Z5" s="4" t="str">
        <f t="shared" ref="Z5:Z36" si="6">IF(U5=0,"N/A",IF((F5+U5)/MAX(0.1,G5)&lt;=DOS_Cap,"DOS OK","MOQ OVERRIDE"))</f>
        <v>DOS OK</v>
      </c>
      <c r="AA5" s="41">
        <v>900</v>
      </c>
      <c r="AB5" s="41">
        <v>0</v>
      </c>
      <c r="AC5" s="4" t="b">
        <v>0</v>
      </c>
    </row>
    <row r="6" spans="1:29" x14ac:dyDescent="0.3">
      <c r="A6" s="36" t="s">
        <v>175</v>
      </c>
      <c r="B6" s="16" t="s">
        <v>165</v>
      </c>
      <c r="C6" s="4" t="s">
        <v>179</v>
      </c>
      <c r="D6" s="41">
        <v>45</v>
      </c>
      <c r="E6" s="41">
        <v>0</v>
      </c>
      <c r="F6" s="42">
        <f>'03_FBA_Nivel1_Transfer'!E6+D6-E6</f>
        <v>174</v>
      </c>
      <c r="G6" s="39">
        <f>'02_Demand_Unconstraining'!R6</f>
        <v>1.6667000000000001</v>
      </c>
      <c r="H6" s="30">
        <f>'02_Demand_Unconstraining'!S6</f>
        <v>0.83220000000000005</v>
      </c>
      <c r="I6" s="29">
        <f>_xlfn.XLOOKUP($A6,tbl_Catalog[sku_id],tbl_Catalog[z_score])</f>
        <v>1.645</v>
      </c>
      <c r="J6" s="41">
        <f t="shared" si="0"/>
        <v>30</v>
      </c>
      <c r="K6" s="41">
        <f>'03_FBA_Nivel1_Transfer'!N6</f>
        <v>7</v>
      </c>
      <c r="L6" s="41">
        <f t="shared" si="1"/>
        <v>163</v>
      </c>
      <c r="M6" s="44">
        <f t="shared" si="2"/>
        <v>238</v>
      </c>
      <c r="N6" s="41">
        <f>_xlfn.CEILING.MATH(_xlfn.XLOOKUP($A6,tbl_Catalog[sku_id],tbl_Catalog[sku_moq_units])/_xlfn.XLOOKUP($A6,tbl_Catalog[sku_id],tbl_Catalog[master_carton_qty]),1)</f>
        <v>3</v>
      </c>
      <c r="O6" s="31">
        <f t="shared" si="3"/>
        <v>6.5998680026399468</v>
      </c>
      <c r="P6" s="48">
        <f>_xlfn.LET(_xlpm.ip_sys,$F6,_xlpm.rop_sys,$L6,_xlpm.s_max,$M6,_xlpm.m_qty,_xlfn.XLOOKUP($A6,tbl_Catalog[sku_id],tbl_Catalog[master_carton_qty]),_xlpm.moq,_xlfn.XLOOKUP($A6,tbl_Catalog[sku_id],tbl_Catalog[sku_moq_units]),IF(_xlpm.ip_sys&lt;=_xlpm.rop_sys,_xlfn.CEILING.MATH(MAX(_xlpm.s_max-_xlpm.ip_sys,_xlpm.moq),_xlpm.m_qty),0))</f>
        <v>0</v>
      </c>
      <c r="Q6" s="30">
        <f>IF(P6&gt;0,(P6/_xlfn.XLOOKUP($A6,tbl_Catalog[sku_id],tbl_Catalog[master_carton_qty]))*_xlfn.XLOOKUP($A6,tbl_Catalog[sku_id],tbl_Catalog[carton_volume_cbm]),0)</f>
        <v>0</v>
      </c>
      <c r="R6" s="41">
        <v>0</v>
      </c>
      <c r="S6" s="41">
        <v>0</v>
      </c>
      <c r="T6" s="41">
        <f>S6*_xlfn.XLOOKUP($A6,tbl_Catalog[sku_id],tbl_Catalog[master_carton_qty])</f>
        <v>0</v>
      </c>
      <c r="U6" s="46">
        <f t="shared" si="4"/>
        <v>0</v>
      </c>
      <c r="V6" s="41">
        <f>IF(_xlfn.XLOOKUP($A6,tbl_Catalog[sku_id],tbl_Catalog[master_carton_qty])&gt;0,U6/_xlfn.XLOOKUP($A6,tbl_Catalog[sku_id],tbl_Catalog[master_carton_qty]),0)</f>
        <v>0</v>
      </c>
      <c r="W6" s="38">
        <f>V6*_xlfn.XLOOKUP($A6,tbl_Catalog[sku_id],tbl_Catalog[carton_volume_cbm])</f>
        <v>0</v>
      </c>
      <c r="X6" s="4" t="str">
        <f t="shared" si="5"/>
        <v>DEFERRED / NO PO</v>
      </c>
      <c r="Y6" s="4" t="str">
        <f>IF(U6=0,"N/A",IF(AND(MOD(U6,_xlfn.XLOOKUP($A6,tbl_Catalog[sku_id],tbl_Catalog[master_carton_qty]))=0,U6&gt;=_xlfn.XLOOKUP($A6,tbl_Catalog[sku_id],tbl_Catalog[sku_moq_units])),"MOQ OK","CHECK"))</f>
        <v>N/A</v>
      </c>
      <c r="Z6" s="4" t="str">
        <f t="shared" si="6"/>
        <v>N/A</v>
      </c>
      <c r="AA6" s="41">
        <v>300</v>
      </c>
      <c r="AB6" s="41">
        <v>0</v>
      </c>
      <c r="AC6" s="4" t="b">
        <v>0</v>
      </c>
    </row>
    <row r="7" spans="1:29" x14ac:dyDescent="0.3">
      <c r="A7" s="36" t="s">
        <v>180</v>
      </c>
      <c r="B7" s="16" t="s">
        <v>165</v>
      </c>
      <c r="C7" s="4" t="s">
        <v>184</v>
      </c>
      <c r="D7" s="41">
        <v>3</v>
      </c>
      <c r="E7" s="41">
        <v>0</v>
      </c>
      <c r="F7" s="42">
        <f>'03_FBA_Nivel1_Transfer'!E7+D7-E7</f>
        <v>3</v>
      </c>
      <c r="G7" s="39">
        <f>'02_Demand_Unconstraining'!R7</f>
        <v>3.5897000000000001</v>
      </c>
      <c r="H7" s="30">
        <f>'02_Demand_Unconstraining'!S7</f>
        <v>1.3165</v>
      </c>
      <c r="I7" s="29">
        <f>_xlfn.XLOOKUP($A7,tbl_Catalog[sku_id],tbl_Catalog[z_score])</f>
        <v>1.645</v>
      </c>
      <c r="J7" s="41">
        <f t="shared" si="0"/>
        <v>62</v>
      </c>
      <c r="K7" s="41">
        <f>'03_FBA_Nivel1_Transfer'!N7</f>
        <v>14</v>
      </c>
      <c r="L7" s="41">
        <f t="shared" si="1"/>
        <v>346</v>
      </c>
      <c r="M7" s="44">
        <f t="shared" si="2"/>
        <v>507</v>
      </c>
      <c r="N7" s="41">
        <f>_xlfn.CEILING.MATH(_xlfn.XLOOKUP($A7,tbl_Catalog[sku_id],tbl_Catalog[sku_moq_units])/_xlfn.XLOOKUP($A7,tbl_Catalog[sku_id],tbl_Catalog[master_carton_qty]),1)</f>
        <v>3</v>
      </c>
      <c r="O7" s="31">
        <f t="shared" si="3"/>
        <v>-95.551160264088921</v>
      </c>
      <c r="P7" s="48">
        <f>_xlfn.LET(_xlpm.ip_sys,$F7,_xlpm.rop_sys,$L7,_xlpm.s_max,$M7,_xlpm.m_qty,_xlfn.XLOOKUP($A7,tbl_Catalog[sku_id],tbl_Catalog[master_carton_qty]),_xlpm.moq,_xlfn.XLOOKUP($A7,tbl_Catalog[sku_id],tbl_Catalog[sku_moq_units]),IF(_xlpm.ip_sys&lt;=_xlpm.rop_sys,_xlfn.CEILING.MATH(MAX(_xlpm.s_max-_xlpm.ip_sys,_xlpm.moq),_xlpm.m_qty),0))</f>
        <v>600</v>
      </c>
      <c r="Q7" s="30">
        <f>IF(P7&gt;0,(P7/_xlfn.XLOOKUP($A7,tbl_Catalog[sku_id],tbl_Catalog[master_carton_qty]))*_xlfn.XLOOKUP($A7,tbl_Catalog[sku_id],tbl_Catalog[carton_volume_cbm]),0)</f>
        <v>0.36</v>
      </c>
      <c r="R7" s="41">
        <v>400</v>
      </c>
      <c r="S7" s="41">
        <v>0</v>
      </c>
      <c r="T7" s="41">
        <f>S7*_xlfn.XLOOKUP($A7,tbl_Catalog[sku_id],tbl_Catalog[master_carton_qty])</f>
        <v>0</v>
      </c>
      <c r="U7" s="46">
        <f t="shared" si="4"/>
        <v>400</v>
      </c>
      <c r="V7" s="41">
        <f>IF(_xlfn.XLOOKUP($A7,tbl_Catalog[sku_id],tbl_Catalog[master_carton_qty])&gt;0,U7/_xlfn.XLOOKUP($A7,tbl_Catalog[sku_id],tbl_Catalog[master_carton_qty]),0)</f>
        <v>4</v>
      </c>
      <c r="W7" s="38">
        <f>V7*_xlfn.XLOOKUP($A7,tbl_Catalog[sku_id],tbl_Catalog[carton_volume_cbm])</f>
        <v>0.24</v>
      </c>
      <c r="X7" s="4" t="str">
        <f t="shared" si="5"/>
        <v>BASE LOAD</v>
      </c>
      <c r="Y7" s="4" t="str">
        <f>IF(U7=0,"N/A",IF(AND(MOD(U7,_xlfn.XLOOKUP($A7,tbl_Catalog[sku_id],tbl_Catalog[master_carton_qty]))=0,U7&gt;=_xlfn.XLOOKUP($A7,tbl_Catalog[sku_id],tbl_Catalog[sku_moq_units])),"MOQ OK","CHECK"))</f>
        <v>MOQ OK</v>
      </c>
      <c r="Z7" s="4" t="str">
        <f t="shared" si="6"/>
        <v>DOS OK</v>
      </c>
      <c r="AA7" s="41">
        <v>300</v>
      </c>
      <c r="AB7" s="41">
        <v>0</v>
      </c>
      <c r="AC7" s="4" t="b">
        <v>0</v>
      </c>
    </row>
    <row r="8" spans="1:29" x14ac:dyDescent="0.3">
      <c r="A8" s="36" t="s">
        <v>185</v>
      </c>
      <c r="B8" s="16" t="s">
        <v>165</v>
      </c>
      <c r="C8" s="4" t="s">
        <v>188</v>
      </c>
      <c r="D8" s="41">
        <v>307</v>
      </c>
      <c r="E8" s="41">
        <v>0</v>
      </c>
      <c r="F8" s="42">
        <f>'03_FBA_Nivel1_Transfer'!E8+D8-E8</f>
        <v>307</v>
      </c>
      <c r="G8" s="39">
        <f>'02_Demand_Unconstraining'!R8</f>
        <v>0.9516</v>
      </c>
      <c r="H8" s="30">
        <f>'02_Demand_Unconstraining'!S8</f>
        <v>0.57250000000000001</v>
      </c>
      <c r="I8" s="29">
        <f>_xlfn.XLOOKUP($A8,tbl_Catalog[sku_id],tbl_Catalog[z_score])</f>
        <v>1.282</v>
      </c>
      <c r="J8" s="41">
        <f t="shared" si="0"/>
        <v>14</v>
      </c>
      <c r="K8" s="41">
        <f>'03_FBA_Nivel1_Transfer'!N8</f>
        <v>4</v>
      </c>
      <c r="L8" s="41">
        <f t="shared" si="1"/>
        <v>90</v>
      </c>
      <c r="M8" s="44">
        <f t="shared" si="2"/>
        <v>133</v>
      </c>
      <c r="N8" s="41">
        <f>_xlfn.CEILING.MATH(_xlfn.XLOOKUP($A8,tbl_Catalog[sku_id],tbl_Catalog[sku_moq_units])/_xlfn.XLOOKUP($A8,tbl_Catalog[sku_id],tbl_Catalog[master_carton_qty]),1)</f>
        <v>3</v>
      </c>
      <c r="O8" s="31">
        <f t="shared" si="3"/>
        <v>228.03699033207229</v>
      </c>
      <c r="P8" s="48">
        <f>_xlfn.LET(_xlpm.ip_sys,$F8,_xlpm.rop_sys,$L8,_xlpm.s_max,$M8,_xlpm.m_qty,_xlfn.XLOOKUP($A8,tbl_Catalog[sku_id],tbl_Catalog[master_carton_qty]),_xlpm.moq,_xlfn.XLOOKUP($A8,tbl_Catalog[sku_id],tbl_Catalog[sku_moq_units]),IF(_xlpm.ip_sys&lt;=_xlpm.rop_sys,_xlfn.CEILING.MATH(MAX(_xlpm.s_max-_xlpm.ip_sys,_xlpm.moq),_xlpm.m_qty),0))</f>
        <v>0</v>
      </c>
      <c r="Q8" s="30">
        <f>IF(P8&gt;0,(P8/_xlfn.XLOOKUP($A8,tbl_Catalog[sku_id],tbl_Catalog[master_carton_qty]))*_xlfn.XLOOKUP($A8,tbl_Catalog[sku_id],tbl_Catalog[carton_volume_cbm]),0)</f>
        <v>0</v>
      </c>
      <c r="R8" s="41">
        <v>0</v>
      </c>
      <c r="S8" s="41">
        <v>0</v>
      </c>
      <c r="T8" s="41">
        <f>S8*_xlfn.XLOOKUP($A8,tbl_Catalog[sku_id],tbl_Catalog[master_carton_qty])</f>
        <v>0</v>
      </c>
      <c r="U8" s="46">
        <f t="shared" si="4"/>
        <v>0</v>
      </c>
      <c r="V8" s="41">
        <f>IF(_xlfn.XLOOKUP($A8,tbl_Catalog[sku_id],tbl_Catalog[master_carton_qty])&gt;0,U8/_xlfn.XLOOKUP($A8,tbl_Catalog[sku_id],tbl_Catalog[master_carton_qty]),0)</f>
        <v>0</v>
      </c>
      <c r="W8" s="38">
        <f>V8*_xlfn.XLOOKUP($A8,tbl_Catalog[sku_id],tbl_Catalog[carton_volume_cbm])</f>
        <v>0</v>
      </c>
      <c r="X8" s="4" t="str">
        <f t="shared" si="5"/>
        <v>DEFERRED / NO PO</v>
      </c>
      <c r="Y8" s="4" t="str">
        <f>IF(U8=0,"N/A",IF(AND(MOD(U8,_xlfn.XLOOKUP($A8,tbl_Catalog[sku_id],tbl_Catalog[master_carton_qty]))=0,U8&gt;=_xlfn.XLOOKUP($A8,tbl_Catalog[sku_id],tbl_Catalog[sku_moq_units])),"MOQ OK","CHECK"))</f>
        <v>N/A</v>
      </c>
      <c r="Z8" s="4" t="str">
        <f t="shared" si="6"/>
        <v>N/A</v>
      </c>
      <c r="AA8" s="41">
        <v>0</v>
      </c>
      <c r="AB8" s="41">
        <v>0</v>
      </c>
      <c r="AC8" s="4" t="b">
        <v>0</v>
      </c>
    </row>
    <row r="9" spans="1:29" x14ac:dyDescent="0.3">
      <c r="A9" s="36" t="s">
        <v>189</v>
      </c>
      <c r="B9" s="16" t="s">
        <v>165</v>
      </c>
      <c r="C9" s="4" t="s">
        <v>188</v>
      </c>
      <c r="D9" s="41">
        <v>205</v>
      </c>
      <c r="E9" s="41">
        <v>0</v>
      </c>
      <c r="F9" s="42">
        <f>'03_FBA_Nivel1_Transfer'!E9+D9-E9</f>
        <v>205</v>
      </c>
      <c r="G9" s="39">
        <f>'02_Demand_Unconstraining'!R9</f>
        <v>0.91839999999999999</v>
      </c>
      <c r="H9" s="30">
        <f>'02_Demand_Unconstraining'!S9</f>
        <v>0.54549999999999998</v>
      </c>
      <c r="I9" s="29">
        <f>_xlfn.XLOOKUP($A9,tbl_Catalog[sku_id],tbl_Catalog[z_score])</f>
        <v>1.282</v>
      </c>
      <c r="J9" s="41">
        <f t="shared" si="0"/>
        <v>14</v>
      </c>
      <c r="K9" s="41">
        <f>'03_FBA_Nivel1_Transfer'!N9</f>
        <v>4</v>
      </c>
      <c r="L9" s="41">
        <f t="shared" si="1"/>
        <v>87</v>
      </c>
      <c r="M9" s="44">
        <f t="shared" si="2"/>
        <v>129</v>
      </c>
      <c r="N9" s="41">
        <f>_xlfn.CEILING.MATH(_xlfn.XLOOKUP($A9,tbl_Catalog[sku_id],tbl_Catalog[sku_moq_units])/_xlfn.XLOOKUP($A9,tbl_Catalog[sku_id],tbl_Catalog[master_carton_qty]),1)</f>
        <v>3</v>
      </c>
      <c r="O9" s="31">
        <f t="shared" si="3"/>
        <v>128.48432055749129</v>
      </c>
      <c r="P9" s="48">
        <f>_xlfn.LET(_xlpm.ip_sys,$F9,_xlpm.rop_sys,$L9,_xlpm.s_max,$M9,_xlpm.m_qty,_xlfn.XLOOKUP($A9,tbl_Catalog[sku_id],tbl_Catalog[master_carton_qty]),_xlpm.moq,_xlfn.XLOOKUP($A9,tbl_Catalog[sku_id],tbl_Catalog[sku_moq_units]),IF(_xlpm.ip_sys&lt;=_xlpm.rop_sys,_xlfn.CEILING.MATH(MAX(_xlpm.s_max-_xlpm.ip_sys,_xlpm.moq),_xlpm.m_qty),0))</f>
        <v>0</v>
      </c>
      <c r="Q9" s="30">
        <f>IF(P9&gt;0,(P9/_xlfn.XLOOKUP($A9,tbl_Catalog[sku_id],tbl_Catalog[master_carton_qty]))*_xlfn.XLOOKUP($A9,tbl_Catalog[sku_id],tbl_Catalog[carton_volume_cbm]),0)</f>
        <v>0</v>
      </c>
      <c r="R9" s="41">
        <v>0</v>
      </c>
      <c r="S9" s="41">
        <v>0</v>
      </c>
      <c r="T9" s="41">
        <f>S9*_xlfn.XLOOKUP($A9,tbl_Catalog[sku_id],tbl_Catalog[master_carton_qty])</f>
        <v>0</v>
      </c>
      <c r="U9" s="46">
        <f t="shared" si="4"/>
        <v>0</v>
      </c>
      <c r="V9" s="41">
        <f>IF(_xlfn.XLOOKUP($A9,tbl_Catalog[sku_id],tbl_Catalog[master_carton_qty])&gt;0,U9/_xlfn.XLOOKUP($A9,tbl_Catalog[sku_id],tbl_Catalog[master_carton_qty]),0)</f>
        <v>0</v>
      </c>
      <c r="W9" s="38">
        <f>V9*_xlfn.XLOOKUP($A9,tbl_Catalog[sku_id],tbl_Catalog[carton_volume_cbm])</f>
        <v>0</v>
      </c>
      <c r="X9" s="4" t="str">
        <f t="shared" si="5"/>
        <v>DEFERRED / NO PO</v>
      </c>
      <c r="Y9" s="4" t="str">
        <f>IF(U9=0,"N/A",IF(AND(MOD(U9,_xlfn.XLOOKUP($A9,tbl_Catalog[sku_id],tbl_Catalog[master_carton_qty]))=0,U9&gt;=_xlfn.XLOOKUP($A9,tbl_Catalog[sku_id],tbl_Catalog[sku_moq_units])),"MOQ OK","CHECK"))</f>
        <v>N/A</v>
      </c>
      <c r="Z9" s="4" t="str">
        <f t="shared" si="6"/>
        <v>N/A</v>
      </c>
      <c r="AA9" s="41">
        <v>0</v>
      </c>
      <c r="AB9" s="41">
        <v>0</v>
      </c>
      <c r="AC9" s="4" t="b">
        <v>0</v>
      </c>
    </row>
    <row r="10" spans="1:29" x14ac:dyDescent="0.3">
      <c r="A10" s="36" t="s">
        <v>193</v>
      </c>
      <c r="B10" s="16" t="s">
        <v>165</v>
      </c>
      <c r="C10" s="4" t="s">
        <v>188</v>
      </c>
      <c r="D10" s="41">
        <v>105</v>
      </c>
      <c r="E10" s="41">
        <v>0</v>
      </c>
      <c r="F10" s="42">
        <f>'03_FBA_Nivel1_Transfer'!E10+D10-E10</f>
        <v>192</v>
      </c>
      <c r="G10" s="39">
        <f>'02_Demand_Unconstraining'!R10</f>
        <v>0.5</v>
      </c>
      <c r="H10" s="30">
        <f>'02_Demand_Unconstraining'!S10</f>
        <v>0.52669999999999995</v>
      </c>
      <c r="I10" s="29">
        <f>_xlfn.XLOOKUP($A10,tbl_Catalog[sku_id],tbl_Catalog[z_score])</f>
        <v>1.282</v>
      </c>
      <c r="J10" s="41">
        <f t="shared" si="0"/>
        <v>9</v>
      </c>
      <c r="K10" s="41">
        <f>'03_FBA_Nivel1_Transfer'!N10</f>
        <v>3</v>
      </c>
      <c r="L10" s="41">
        <f t="shared" si="1"/>
        <v>50</v>
      </c>
      <c r="M10" s="44">
        <f t="shared" si="2"/>
        <v>72</v>
      </c>
      <c r="N10" s="41">
        <f>_xlfn.CEILING.MATH(_xlfn.XLOOKUP($A10,tbl_Catalog[sku_id],tbl_Catalog[sku_moq_units])/_xlfn.XLOOKUP($A10,tbl_Catalog[sku_id],tbl_Catalog[master_carton_qty]),1)</f>
        <v>3</v>
      </c>
      <c r="O10" s="31">
        <f t="shared" si="3"/>
        <v>284</v>
      </c>
      <c r="P10" s="48">
        <f>_xlfn.LET(_xlpm.ip_sys,$F10,_xlpm.rop_sys,$L10,_xlpm.s_max,$M10,_xlpm.m_qty,_xlfn.XLOOKUP($A10,tbl_Catalog[sku_id],tbl_Catalog[master_carton_qty]),_xlpm.moq,_xlfn.XLOOKUP($A10,tbl_Catalog[sku_id],tbl_Catalog[sku_moq_units]),IF(_xlpm.ip_sys&lt;=_xlpm.rop_sys,_xlfn.CEILING.MATH(MAX(_xlpm.s_max-_xlpm.ip_sys,_xlpm.moq),_xlpm.m_qty),0))</f>
        <v>0</v>
      </c>
      <c r="Q10" s="30">
        <f>IF(P10&gt;0,(P10/_xlfn.XLOOKUP($A10,tbl_Catalog[sku_id],tbl_Catalog[master_carton_qty]))*_xlfn.XLOOKUP($A10,tbl_Catalog[sku_id],tbl_Catalog[carton_volume_cbm]),0)</f>
        <v>0</v>
      </c>
      <c r="R10" s="41">
        <v>0</v>
      </c>
      <c r="S10" s="41">
        <v>0</v>
      </c>
      <c r="T10" s="41">
        <f>S10*_xlfn.XLOOKUP($A10,tbl_Catalog[sku_id],tbl_Catalog[master_carton_qty])</f>
        <v>0</v>
      </c>
      <c r="U10" s="46">
        <f t="shared" si="4"/>
        <v>0</v>
      </c>
      <c r="V10" s="41">
        <f>IF(_xlfn.XLOOKUP($A10,tbl_Catalog[sku_id],tbl_Catalog[master_carton_qty])&gt;0,U10/_xlfn.XLOOKUP($A10,tbl_Catalog[sku_id],tbl_Catalog[master_carton_qty]),0)</f>
        <v>0</v>
      </c>
      <c r="W10" s="38">
        <f>V10*_xlfn.XLOOKUP($A10,tbl_Catalog[sku_id],tbl_Catalog[carton_volume_cbm])</f>
        <v>0</v>
      </c>
      <c r="X10" s="4" t="str">
        <f t="shared" si="5"/>
        <v>DEFERRED / NO PO</v>
      </c>
      <c r="Y10" s="4" t="str">
        <f>IF(U10=0,"N/A",IF(AND(MOD(U10,_xlfn.XLOOKUP($A10,tbl_Catalog[sku_id],tbl_Catalog[master_carton_qty]))=0,U10&gt;=_xlfn.XLOOKUP($A10,tbl_Catalog[sku_id],tbl_Catalog[sku_moq_units])),"MOQ OK","CHECK"))</f>
        <v>N/A</v>
      </c>
      <c r="Z10" s="4" t="str">
        <f t="shared" si="6"/>
        <v>N/A</v>
      </c>
      <c r="AA10" s="41">
        <v>0</v>
      </c>
      <c r="AB10" s="41">
        <v>0</v>
      </c>
      <c r="AC10" s="4" t="b">
        <v>0</v>
      </c>
    </row>
    <row r="11" spans="1:29" x14ac:dyDescent="0.3">
      <c r="A11" s="36" t="s">
        <v>196</v>
      </c>
      <c r="B11" s="16" t="s">
        <v>165</v>
      </c>
      <c r="C11" s="4" t="s">
        <v>188</v>
      </c>
      <c r="D11" s="41">
        <v>303</v>
      </c>
      <c r="E11" s="41">
        <v>0</v>
      </c>
      <c r="F11" s="42">
        <f>'03_FBA_Nivel1_Transfer'!E11+D11-E11</f>
        <v>303</v>
      </c>
      <c r="G11" s="39">
        <f>'02_Demand_Unconstraining'!R11</f>
        <v>0.81899999999999995</v>
      </c>
      <c r="H11" s="30">
        <f>'02_Demand_Unconstraining'!S11</f>
        <v>0.48649999999999999</v>
      </c>
      <c r="I11" s="29">
        <f>_xlfn.XLOOKUP($A11,tbl_Catalog[sku_id],tbl_Catalog[z_score])</f>
        <v>1.282</v>
      </c>
      <c r="J11" s="41">
        <f t="shared" si="0"/>
        <v>12</v>
      </c>
      <c r="K11" s="41">
        <f>'03_FBA_Nivel1_Transfer'!N11</f>
        <v>4</v>
      </c>
      <c r="L11" s="41">
        <f t="shared" si="1"/>
        <v>78</v>
      </c>
      <c r="M11" s="44">
        <f t="shared" si="2"/>
        <v>115</v>
      </c>
      <c r="N11" s="41">
        <f>_xlfn.CEILING.MATH(_xlfn.XLOOKUP($A11,tbl_Catalog[sku_id],tbl_Catalog[sku_moq_units])/_xlfn.XLOOKUP($A11,tbl_Catalog[sku_id],tbl_Catalog[master_carton_qty]),1)</f>
        <v>3</v>
      </c>
      <c r="O11" s="31">
        <f t="shared" si="3"/>
        <v>274.72527472527474</v>
      </c>
      <c r="P11" s="48">
        <f>_xlfn.LET(_xlpm.ip_sys,$F11,_xlpm.rop_sys,$L11,_xlpm.s_max,$M11,_xlpm.m_qty,_xlfn.XLOOKUP($A11,tbl_Catalog[sku_id],tbl_Catalog[master_carton_qty]),_xlpm.moq,_xlfn.XLOOKUP($A11,tbl_Catalog[sku_id],tbl_Catalog[sku_moq_units]),IF(_xlpm.ip_sys&lt;=_xlpm.rop_sys,_xlfn.CEILING.MATH(MAX(_xlpm.s_max-_xlpm.ip_sys,_xlpm.moq),_xlpm.m_qty),0))</f>
        <v>0</v>
      </c>
      <c r="Q11" s="30">
        <f>IF(P11&gt;0,(P11/_xlfn.XLOOKUP($A11,tbl_Catalog[sku_id],tbl_Catalog[master_carton_qty]))*_xlfn.XLOOKUP($A11,tbl_Catalog[sku_id],tbl_Catalog[carton_volume_cbm]),0)</f>
        <v>0</v>
      </c>
      <c r="R11" s="41">
        <v>0</v>
      </c>
      <c r="S11" s="41">
        <v>0</v>
      </c>
      <c r="T11" s="41">
        <f>S11*_xlfn.XLOOKUP($A11,tbl_Catalog[sku_id],tbl_Catalog[master_carton_qty])</f>
        <v>0</v>
      </c>
      <c r="U11" s="46">
        <f t="shared" si="4"/>
        <v>0</v>
      </c>
      <c r="V11" s="41">
        <f>IF(_xlfn.XLOOKUP($A11,tbl_Catalog[sku_id],tbl_Catalog[master_carton_qty])&gt;0,U11/_xlfn.XLOOKUP($A11,tbl_Catalog[sku_id],tbl_Catalog[master_carton_qty]),0)</f>
        <v>0</v>
      </c>
      <c r="W11" s="38">
        <f>V11*_xlfn.XLOOKUP($A11,tbl_Catalog[sku_id],tbl_Catalog[carton_volume_cbm])</f>
        <v>0</v>
      </c>
      <c r="X11" s="4" t="str">
        <f t="shared" si="5"/>
        <v>DEFERRED / NO PO</v>
      </c>
      <c r="Y11" s="4" t="str">
        <f>IF(U11=0,"N/A",IF(AND(MOD(U11,_xlfn.XLOOKUP($A11,tbl_Catalog[sku_id],tbl_Catalog[master_carton_qty]))=0,U11&gt;=_xlfn.XLOOKUP($A11,tbl_Catalog[sku_id],tbl_Catalog[sku_moq_units])),"MOQ OK","CHECK"))</f>
        <v>N/A</v>
      </c>
      <c r="Z11" s="4" t="str">
        <f t="shared" si="6"/>
        <v>N/A</v>
      </c>
      <c r="AA11" s="41">
        <v>0</v>
      </c>
      <c r="AB11" s="41">
        <v>0</v>
      </c>
      <c r="AC11" s="4" t="b">
        <v>0</v>
      </c>
    </row>
    <row r="12" spans="1:29" x14ac:dyDescent="0.3">
      <c r="A12" s="36" t="s">
        <v>200</v>
      </c>
      <c r="B12" s="16" t="s">
        <v>165</v>
      </c>
      <c r="C12" s="4" t="s">
        <v>188</v>
      </c>
      <c r="D12" s="41">
        <v>291</v>
      </c>
      <c r="E12" s="41">
        <v>0</v>
      </c>
      <c r="F12" s="42">
        <f>'03_FBA_Nivel1_Transfer'!E12+D12-E12</f>
        <v>291</v>
      </c>
      <c r="G12" s="39">
        <f>'02_Demand_Unconstraining'!R12</f>
        <v>0.28360000000000002</v>
      </c>
      <c r="H12" s="30">
        <f>'02_Demand_Unconstraining'!S12</f>
        <v>0.18429999999999999</v>
      </c>
      <c r="I12" s="29">
        <f>_xlfn.XLOOKUP($A12,tbl_Catalog[sku_id],tbl_Catalog[z_score])</f>
        <v>1.282</v>
      </c>
      <c r="J12" s="41">
        <f t="shared" si="0"/>
        <v>5</v>
      </c>
      <c r="K12" s="41">
        <f>'03_FBA_Nivel1_Transfer'!N12</f>
        <v>2</v>
      </c>
      <c r="L12" s="41">
        <f t="shared" si="1"/>
        <v>29</v>
      </c>
      <c r="M12" s="44">
        <f t="shared" si="2"/>
        <v>42</v>
      </c>
      <c r="N12" s="41">
        <f>_xlfn.CEILING.MATH(_xlfn.XLOOKUP($A12,tbl_Catalog[sku_id],tbl_Catalog[sku_moq_units])/_xlfn.XLOOKUP($A12,tbl_Catalog[sku_id],tbl_Catalog[master_carton_qty]),1)</f>
        <v>3</v>
      </c>
      <c r="O12" s="31">
        <f t="shared" si="3"/>
        <v>923.83638928067694</v>
      </c>
      <c r="P12" s="48">
        <f>_xlfn.LET(_xlpm.ip_sys,$F12,_xlpm.rop_sys,$L12,_xlpm.s_max,$M12,_xlpm.m_qty,_xlfn.XLOOKUP($A12,tbl_Catalog[sku_id],tbl_Catalog[master_carton_qty]),_xlpm.moq,_xlfn.XLOOKUP($A12,tbl_Catalog[sku_id],tbl_Catalog[sku_moq_units]),IF(_xlpm.ip_sys&lt;=_xlpm.rop_sys,_xlfn.CEILING.MATH(MAX(_xlpm.s_max-_xlpm.ip_sys,_xlpm.moq),_xlpm.m_qty),0))</f>
        <v>0</v>
      </c>
      <c r="Q12" s="30">
        <f>IF(P12&gt;0,(P12/_xlfn.XLOOKUP($A12,tbl_Catalog[sku_id],tbl_Catalog[master_carton_qty]))*_xlfn.XLOOKUP($A12,tbl_Catalog[sku_id],tbl_Catalog[carton_volume_cbm]),0)</f>
        <v>0</v>
      </c>
      <c r="R12" s="41">
        <v>0</v>
      </c>
      <c r="S12" s="41">
        <v>0</v>
      </c>
      <c r="T12" s="41">
        <f>S12*_xlfn.XLOOKUP($A12,tbl_Catalog[sku_id],tbl_Catalog[master_carton_qty])</f>
        <v>0</v>
      </c>
      <c r="U12" s="46">
        <f t="shared" si="4"/>
        <v>0</v>
      </c>
      <c r="V12" s="41">
        <f>IF(_xlfn.XLOOKUP($A12,tbl_Catalog[sku_id],tbl_Catalog[master_carton_qty])&gt;0,U12/_xlfn.XLOOKUP($A12,tbl_Catalog[sku_id],tbl_Catalog[master_carton_qty]),0)</f>
        <v>0</v>
      </c>
      <c r="W12" s="38">
        <f>V12*_xlfn.XLOOKUP($A12,tbl_Catalog[sku_id],tbl_Catalog[carton_volume_cbm])</f>
        <v>0</v>
      </c>
      <c r="X12" s="4" t="str">
        <f t="shared" si="5"/>
        <v>DEFERRED / NO PO</v>
      </c>
      <c r="Y12" s="4" t="str">
        <f>IF(U12=0,"N/A",IF(AND(MOD(U12,_xlfn.XLOOKUP($A12,tbl_Catalog[sku_id],tbl_Catalog[master_carton_qty]))=0,U12&gt;=_xlfn.XLOOKUP($A12,tbl_Catalog[sku_id],tbl_Catalog[sku_moq_units])),"MOQ OK","CHECK"))</f>
        <v>N/A</v>
      </c>
      <c r="Z12" s="4" t="str">
        <f t="shared" si="6"/>
        <v>N/A</v>
      </c>
      <c r="AA12" s="41">
        <v>0</v>
      </c>
      <c r="AB12" s="41">
        <v>0</v>
      </c>
      <c r="AC12" s="4" t="b">
        <v>0</v>
      </c>
    </row>
    <row r="13" spans="1:29" x14ac:dyDescent="0.3">
      <c r="A13" s="36" t="s">
        <v>203</v>
      </c>
      <c r="B13" s="16" t="s">
        <v>165</v>
      </c>
      <c r="C13" s="4" t="s">
        <v>188</v>
      </c>
      <c r="D13" s="41">
        <v>303</v>
      </c>
      <c r="E13" s="41">
        <v>0</v>
      </c>
      <c r="F13" s="42">
        <f>'03_FBA_Nivel1_Transfer'!E13+D13-E13</f>
        <v>303</v>
      </c>
      <c r="G13" s="39">
        <f>'02_Demand_Unconstraining'!R13</f>
        <v>0.61499999999999999</v>
      </c>
      <c r="H13" s="30">
        <f>'02_Demand_Unconstraining'!S13</f>
        <v>0.36099999999999999</v>
      </c>
      <c r="I13" s="29">
        <f>_xlfn.XLOOKUP($A13,tbl_Catalog[sku_id],tbl_Catalog[z_score])</f>
        <v>1.282</v>
      </c>
      <c r="J13" s="41">
        <f t="shared" si="0"/>
        <v>9</v>
      </c>
      <c r="K13" s="41">
        <f>'03_FBA_Nivel1_Transfer'!N13</f>
        <v>3</v>
      </c>
      <c r="L13" s="41">
        <f t="shared" si="1"/>
        <v>59</v>
      </c>
      <c r="M13" s="44">
        <f t="shared" si="2"/>
        <v>86</v>
      </c>
      <c r="N13" s="41">
        <f>_xlfn.CEILING.MATH(_xlfn.XLOOKUP($A13,tbl_Catalog[sku_id],tbl_Catalog[sku_moq_units])/_xlfn.XLOOKUP($A13,tbl_Catalog[sku_id],tbl_Catalog[master_carton_qty]),1)</f>
        <v>3</v>
      </c>
      <c r="O13" s="31">
        <f t="shared" si="3"/>
        <v>396.7479674796748</v>
      </c>
      <c r="P13" s="48">
        <f>_xlfn.LET(_xlpm.ip_sys,$F13,_xlpm.rop_sys,$L13,_xlpm.s_max,$M13,_xlpm.m_qty,_xlfn.XLOOKUP($A13,tbl_Catalog[sku_id],tbl_Catalog[master_carton_qty]),_xlpm.moq,_xlfn.XLOOKUP($A13,tbl_Catalog[sku_id],tbl_Catalog[sku_moq_units]),IF(_xlpm.ip_sys&lt;=_xlpm.rop_sys,_xlfn.CEILING.MATH(MAX(_xlpm.s_max-_xlpm.ip_sys,_xlpm.moq),_xlpm.m_qty),0))</f>
        <v>0</v>
      </c>
      <c r="Q13" s="30">
        <f>IF(P13&gt;0,(P13/_xlfn.XLOOKUP($A13,tbl_Catalog[sku_id],tbl_Catalog[master_carton_qty]))*_xlfn.XLOOKUP($A13,tbl_Catalog[sku_id],tbl_Catalog[carton_volume_cbm]),0)</f>
        <v>0</v>
      </c>
      <c r="R13" s="41">
        <v>0</v>
      </c>
      <c r="S13" s="41">
        <v>0</v>
      </c>
      <c r="T13" s="41">
        <f>S13*_xlfn.XLOOKUP($A13,tbl_Catalog[sku_id],tbl_Catalog[master_carton_qty])</f>
        <v>0</v>
      </c>
      <c r="U13" s="46">
        <f t="shared" si="4"/>
        <v>0</v>
      </c>
      <c r="V13" s="41">
        <f>IF(_xlfn.XLOOKUP($A13,tbl_Catalog[sku_id],tbl_Catalog[master_carton_qty])&gt;0,U13/_xlfn.XLOOKUP($A13,tbl_Catalog[sku_id],tbl_Catalog[master_carton_qty]),0)</f>
        <v>0</v>
      </c>
      <c r="W13" s="38">
        <f>V13*_xlfn.XLOOKUP($A13,tbl_Catalog[sku_id],tbl_Catalog[carton_volume_cbm])</f>
        <v>0</v>
      </c>
      <c r="X13" s="4" t="str">
        <f t="shared" si="5"/>
        <v>DEFERRED / NO PO</v>
      </c>
      <c r="Y13" s="4" t="str">
        <f>IF(U13=0,"N/A",IF(AND(MOD(U13,_xlfn.XLOOKUP($A13,tbl_Catalog[sku_id],tbl_Catalog[master_carton_qty]))=0,U13&gt;=_xlfn.XLOOKUP($A13,tbl_Catalog[sku_id],tbl_Catalog[sku_moq_units])),"MOQ OK","CHECK"))</f>
        <v>N/A</v>
      </c>
      <c r="Z13" s="4" t="str">
        <f t="shared" si="6"/>
        <v>N/A</v>
      </c>
      <c r="AA13" s="41">
        <v>0</v>
      </c>
      <c r="AB13" s="41">
        <v>0</v>
      </c>
      <c r="AC13" s="4" t="b">
        <v>0</v>
      </c>
    </row>
    <row r="14" spans="1:29" x14ac:dyDescent="0.3">
      <c r="A14" s="36" t="s">
        <v>207</v>
      </c>
      <c r="B14" s="16" t="s">
        <v>165</v>
      </c>
      <c r="C14" s="4" t="s">
        <v>188</v>
      </c>
      <c r="D14" s="41">
        <v>304</v>
      </c>
      <c r="E14" s="41">
        <v>0</v>
      </c>
      <c r="F14" s="42">
        <f>'03_FBA_Nivel1_Transfer'!E14+D14-E14</f>
        <v>304</v>
      </c>
      <c r="G14" s="39">
        <f>'02_Demand_Unconstraining'!R14</f>
        <v>0.17910000000000001</v>
      </c>
      <c r="H14" s="30">
        <f>'02_Demand_Unconstraining'!S14</f>
        <v>0.1164</v>
      </c>
      <c r="I14" s="29">
        <f>_xlfn.XLOOKUP($A14,tbl_Catalog[sku_id],tbl_Catalog[z_score])</f>
        <v>1.282</v>
      </c>
      <c r="J14" s="41">
        <f t="shared" si="0"/>
        <v>3</v>
      </c>
      <c r="K14" s="41">
        <f>'03_FBA_Nivel1_Transfer'!N14</f>
        <v>1</v>
      </c>
      <c r="L14" s="41">
        <f t="shared" si="1"/>
        <v>18</v>
      </c>
      <c r="M14" s="44">
        <f t="shared" si="2"/>
        <v>26</v>
      </c>
      <c r="N14" s="41">
        <f>_xlfn.CEILING.MATH(_xlfn.XLOOKUP($A14,tbl_Catalog[sku_id],tbl_Catalog[sku_moq_units])/_xlfn.XLOOKUP($A14,tbl_Catalog[sku_id],tbl_Catalog[master_carton_qty]),1)</f>
        <v>3</v>
      </c>
      <c r="O14" s="31">
        <f t="shared" si="3"/>
        <v>1596.8732551647124</v>
      </c>
      <c r="P14" s="48">
        <f>_xlfn.LET(_xlpm.ip_sys,$F14,_xlpm.rop_sys,$L14,_xlpm.s_max,$M14,_xlpm.m_qty,_xlfn.XLOOKUP($A14,tbl_Catalog[sku_id],tbl_Catalog[master_carton_qty]),_xlpm.moq,_xlfn.XLOOKUP($A14,tbl_Catalog[sku_id],tbl_Catalog[sku_moq_units]),IF(_xlpm.ip_sys&lt;=_xlpm.rop_sys,_xlfn.CEILING.MATH(MAX(_xlpm.s_max-_xlpm.ip_sys,_xlpm.moq),_xlpm.m_qty),0))</f>
        <v>0</v>
      </c>
      <c r="Q14" s="30">
        <f>IF(P14&gt;0,(P14/_xlfn.XLOOKUP($A14,tbl_Catalog[sku_id],tbl_Catalog[master_carton_qty]))*_xlfn.XLOOKUP($A14,tbl_Catalog[sku_id],tbl_Catalog[carton_volume_cbm]),0)</f>
        <v>0</v>
      </c>
      <c r="R14" s="41">
        <v>0</v>
      </c>
      <c r="S14" s="41">
        <v>0</v>
      </c>
      <c r="T14" s="41">
        <f>S14*_xlfn.XLOOKUP($A14,tbl_Catalog[sku_id],tbl_Catalog[master_carton_qty])</f>
        <v>0</v>
      </c>
      <c r="U14" s="46">
        <f t="shared" si="4"/>
        <v>0</v>
      </c>
      <c r="V14" s="41">
        <f>IF(_xlfn.XLOOKUP($A14,tbl_Catalog[sku_id],tbl_Catalog[master_carton_qty])&gt;0,U14/_xlfn.XLOOKUP($A14,tbl_Catalog[sku_id],tbl_Catalog[master_carton_qty]),0)</f>
        <v>0</v>
      </c>
      <c r="W14" s="38">
        <f>V14*_xlfn.XLOOKUP($A14,tbl_Catalog[sku_id],tbl_Catalog[carton_volume_cbm])</f>
        <v>0</v>
      </c>
      <c r="X14" s="4" t="str">
        <f t="shared" si="5"/>
        <v>DEFERRED / NO PO</v>
      </c>
      <c r="Y14" s="4" t="str">
        <f>IF(U14=0,"N/A",IF(AND(MOD(U14,_xlfn.XLOOKUP($A14,tbl_Catalog[sku_id],tbl_Catalog[master_carton_qty]))=0,U14&gt;=_xlfn.XLOOKUP($A14,tbl_Catalog[sku_id],tbl_Catalog[sku_moq_units])),"MOQ OK","CHECK"))</f>
        <v>N/A</v>
      </c>
      <c r="Z14" s="4" t="str">
        <f t="shared" si="6"/>
        <v>N/A</v>
      </c>
      <c r="AA14" s="41">
        <v>0</v>
      </c>
      <c r="AB14" s="41">
        <v>0</v>
      </c>
      <c r="AC14" s="4" t="b">
        <v>0</v>
      </c>
    </row>
    <row r="15" spans="1:29" x14ac:dyDescent="0.3">
      <c r="A15" s="36" t="s">
        <v>210</v>
      </c>
      <c r="B15" s="16" t="s">
        <v>165</v>
      </c>
      <c r="C15" s="4" t="s">
        <v>188</v>
      </c>
      <c r="D15" s="41">
        <v>99</v>
      </c>
      <c r="E15" s="41">
        <v>0</v>
      </c>
      <c r="F15" s="42">
        <f>'03_FBA_Nivel1_Transfer'!E15+D15-E15</f>
        <v>224</v>
      </c>
      <c r="G15" s="39">
        <f>'02_Demand_Unconstraining'!R15</f>
        <v>0.4</v>
      </c>
      <c r="H15" s="30">
        <f>'02_Demand_Unconstraining'!S15</f>
        <v>0.40250000000000002</v>
      </c>
      <c r="I15" s="29">
        <f>_xlfn.XLOOKUP($A15,tbl_Catalog[sku_id],tbl_Catalog[z_score])</f>
        <v>1.282</v>
      </c>
      <c r="J15" s="41">
        <f t="shared" si="0"/>
        <v>7</v>
      </c>
      <c r="K15" s="41">
        <f>'03_FBA_Nivel1_Transfer'!N15</f>
        <v>3</v>
      </c>
      <c r="L15" s="41">
        <f t="shared" si="1"/>
        <v>40</v>
      </c>
      <c r="M15" s="44">
        <f t="shared" si="2"/>
        <v>58</v>
      </c>
      <c r="N15" s="41">
        <f>_xlfn.CEILING.MATH(_xlfn.XLOOKUP($A15,tbl_Catalog[sku_id],tbl_Catalog[sku_moq_units])/_xlfn.XLOOKUP($A15,tbl_Catalog[sku_id],tbl_Catalog[master_carton_qty]),1)</f>
        <v>3</v>
      </c>
      <c r="O15" s="31">
        <f t="shared" si="3"/>
        <v>460</v>
      </c>
      <c r="P15" s="48">
        <f>_xlfn.LET(_xlpm.ip_sys,$F15,_xlpm.rop_sys,$L15,_xlpm.s_max,$M15,_xlpm.m_qty,_xlfn.XLOOKUP($A15,tbl_Catalog[sku_id],tbl_Catalog[master_carton_qty]),_xlpm.moq,_xlfn.XLOOKUP($A15,tbl_Catalog[sku_id],tbl_Catalog[sku_moq_units]),IF(_xlpm.ip_sys&lt;=_xlpm.rop_sys,_xlfn.CEILING.MATH(MAX(_xlpm.s_max-_xlpm.ip_sys,_xlpm.moq),_xlpm.m_qty),0))</f>
        <v>0</v>
      </c>
      <c r="Q15" s="30">
        <f>IF(P15&gt;0,(P15/_xlfn.XLOOKUP($A15,tbl_Catalog[sku_id],tbl_Catalog[master_carton_qty]))*_xlfn.XLOOKUP($A15,tbl_Catalog[sku_id],tbl_Catalog[carton_volume_cbm]),0)</f>
        <v>0</v>
      </c>
      <c r="R15" s="41">
        <v>0</v>
      </c>
      <c r="S15" s="41">
        <v>0</v>
      </c>
      <c r="T15" s="41">
        <f>S15*_xlfn.XLOOKUP($A15,tbl_Catalog[sku_id],tbl_Catalog[master_carton_qty])</f>
        <v>0</v>
      </c>
      <c r="U15" s="46">
        <f t="shared" si="4"/>
        <v>0</v>
      </c>
      <c r="V15" s="41">
        <f>IF(_xlfn.XLOOKUP($A15,tbl_Catalog[sku_id],tbl_Catalog[master_carton_qty])&gt;0,U15/_xlfn.XLOOKUP($A15,tbl_Catalog[sku_id],tbl_Catalog[master_carton_qty]),0)</f>
        <v>0</v>
      </c>
      <c r="W15" s="38">
        <f>V15*_xlfn.XLOOKUP($A15,tbl_Catalog[sku_id],tbl_Catalog[carton_volume_cbm])</f>
        <v>0</v>
      </c>
      <c r="X15" s="4" t="str">
        <f t="shared" si="5"/>
        <v>DEFERRED / NO PO</v>
      </c>
      <c r="Y15" s="4" t="str">
        <f>IF(U15=0,"N/A",IF(AND(MOD(U15,_xlfn.XLOOKUP($A15,tbl_Catalog[sku_id],tbl_Catalog[master_carton_qty]))=0,U15&gt;=_xlfn.XLOOKUP($A15,tbl_Catalog[sku_id],tbl_Catalog[sku_moq_units])),"MOQ OK","CHECK"))</f>
        <v>N/A</v>
      </c>
      <c r="Z15" s="4" t="str">
        <f t="shared" si="6"/>
        <v>N/A</v>
      </c>
      <c r="AA15" s="41">
        <v>0</v>
      </c>
      <c r="AB15" s="41">
        <v>0</v>
      </c>
      <c r="AC15" s="4" t="b">
        <v>0</v>
      </c>
    </row>
    <row r="16" spans="1:29" x14ac:dyDescent="0.3">
      <c r="A16" s="36" t="s">
        <v>214</v>
      </c>
      <c r="B16" s="16" t="s">
        <v>165</v>
      </c>
      <c r="C16" s="4" t="s">
        <v>188</v>
      </c>
      <c r="D16" s="41">
        <v>301</v>
      </c>
      <c r="E16" s="41">
        <v>0</v>
      </c>
      <c r="F16" s="42">
        <f>'03_FBA_Nivel1_Transfer'!E16+D16-E16</f>
        <v>301</v>
      </c>
      <c r="G16" s="39">
        <f>'02_Demand_Unconstraining'!R16</f>
        <v>0.14829999999999999</v>
      </c>
      <c r="H16" s="30">
        <f>'02_Demand_Unconstraining'!S16</f>
        <v>8.7300000000000003E-2</v>
      </c>
      <c r="I16" s="29">
        <f>_xlfn.XLOOKUP($A16,tbl_Catalog[sku_id],tbl_Catalog[z_score])</f>
        <v>1.282</v>
      </c>
      <c r="J16" s="41">
        <f t="shared" si="0"/>
        <v>3</v>
      </c>
      <c r="K16" s="41">
        <f>'03_FBA_Nivel1_Transfer'!N16</f>
        <v>1</v>
      </c>
      <c r="L16" s="41">
        <f t="shared" si="1"/>
        <v>16</v>
      </c>
      <c r="M16" s="44">
        <f t="shared" si="2"/>
        <v>22</v>
      </c>
      <c r="N16" s="41">
        <f>_xlfn.CEILING.MATH(_xlfn.XLOOKUP($A16,tbl_Catalog[sku_id],tbl_Catalog[sku_moq_units])/_xlfn.XLOOKUP($A16,tbl_Catalog[sku_id],tbl_Catalog[master_carton_qty]),1)</f>
        <v>3</v>
      </c>
      <c r="O16" s="31">
        <f t="shared" si="3"/>
        <v>1921.7801753202968</v>
      </c>
      <c r="P16" s="48">
        <f>_xlfn.LET(_xlpm.ip_sys,$F16,_xlpm.rop_sys,$L16,_xlpm.s_max,$M16,_xlpm.m_qty,_xlfn.XLOOKUP($A16,tbl_Catalog[sku_id],tbl_Catalog[master_carton_qty]),_xlpm.moq,_xlfn.XLOOKUP($A16,tbl_Catalog[sku_id],tbl_Catalog[sku_moq_units]),IF(_xlpm.ip_sys&lt;=_xlpm.rop_sys,_xlfn.CEILING.MATH(MAX(_xlpm.s_max-_xlpm.ip_sys,_xlpm.moq),_xlpm.m_qty),0))</f>
        <v>0</v>
      </c>
      <c r="Q16" s="30">
        <f>IF(P16&gt;0,(P16/_xlfn.XLOOKUP($A16,tbl_Catalog[sku_id],tbl_Catalog[master_carton_qty]))*_xlfn.XLOOKUP($A16,tbl_Catalog[sku_id],tbl_Catalog[carton_volume_cbm]),0)</f>
        <v>0</v>
      </c>
      <c r="R16" s="41">
        <v>0</v>
      </c>
      <c r="S16" s="41">
        <v>0</v>
      </c>
      <c r="T16" s="41">
        <f>S16*_xlfn.XLOOKUP($A16,tbl_Catalog[sku_id],tbl_Catalog[master_carton_qty])</f>
        <v>0</v>
      </c>
      <c r="U16" s="46">
        <f t="shared" si="4"/>
        <v>0</v>
      </c>
      <c r="V16" s="41">
        <f>IF(_xlfn.XLOOKUP($A16,tbl_Catalog[sku_id],tbl_Catalog[master_carton_qty])&gt;0,U16/_xlfn.XLOOKUP($A16,tbl_Catalog[sku_id],tbl_Catalog[master_carton_qty]),0)</f>
        <v>0</v>
      </c>
      <c r="W16" s="38">
        <f>V16*_xlfn.XLOOKUP($A16,tbl_Catalog[sku_id],tbl_Catalog[carton_volume_cbm])</f>
        <v>0</v>
      </c>
      <c r="X16" s="4" t="str">
        <f t="shared" si="5"/>
        <v>DEFERRED / NO PO</v>
      </c>
      <c r="Y16" s="4" t="str">
        <f>IF(U16=0,"N/A",IF(AND(MOD(U16,_xlfn.XLOOKUP($A16,tbl_Catalog[sku_id],tbl_Catalog[master_carton_qty]))=0,U16&gt;=_xlfn.XLOOKUP($A16,tbl_Catalog[sku_id],tbl_Catalog[sku_moq_units])),"MOQ OK","CHECK"))</f>
        <v>N/A</v>
      </c>
      <c r="Z16" s="4" t="str">
        <f t="shared" si="6"/>
        <v>N/A</v>
      </c>
      <c r="AA16" s="41">
        <v>0</v>
      </c>
      <c r="AB16" s="41">
        <v>0</v>
      </c>
      <c r="AC16" s="4" t="b">
        <v>0</v>
      </c>
    </row>
    <row r="17" spans="1:29" x14ac:dyDescent="0.3">
      <c r="A17" s="36" t="s">
        <v>217</v>
      </c>
      <c r="B17" s="16" t="s">
        <v>165</v>
      </c>
      <c r="C17" s="4" t="s">
        <v>221</v>
      </c>
      <c r="D17" s="41">
        <v>673</v>
      </c>
      <c r="E17" s="41">
        <v>0</v>
      </c>
      <c r="F17" s="42">
        <f>'03_FBA_Nivel1_Transfer'!E17+D17-E17</f>
        <v>673</v>
      </c>
      <c r="G17" s="39">
        <f>'02_Demand_Unconstraining'!R17</f>
        <v>48.620399999999997</v>
      </c>
      <c r="H17" s="30">
        <f>'02_Demand_Unconstraining'!S17</f>
        <v>11.5092</v>
      </c>
      <c r="I17" s="29">
        <f>_xlfn.XLOOKUP($A17,tbl_Catalog[sku_id],tbl_Catalog[z_score])</f>
        <v>2.0539999999999998</v>
      </c>
      <c r="J17" s="41">
        <f t="shared" si="0"/>
        <v>1020</v>
      </c>
      <c r="K17" s="41">
        <f>'03_FBA_Nivel1_Transfer'!N17</f>
        <v>214</v>
      </c>
      <c r="L17" s="41">
        <f t="shared" si="1"/>
        <v>4881</v>
      </c>
      <c r="M17" s="44">
        <f t="shared" si="2"/>
        <v>7069</v>
      </c>
      <c r="N17" s="41">
        <f>_xlfn.CEILING.MATH(_xlfn.XLOOKUP($A17,tbl_Catalog[sku_id],tbl_Catalog[sku_moq_units])/_xlfn.XLOOKUP($A17,tbl_Catalog[sku_id],tbl_Catalog[master_carton_qty]),1)</f>
        <v>3</v>
      </c>
      <c r="O17" s="31">
        <f t="shared" si="3"/>
        <v>-86.548033335801435</v>
      </c>
      <c r="P17" s="48">
        <f>_xlfn.LET(_xlpm.ip_sys,$F17,_xlpm.rop_sys,$L17,_xlpm.s_max,$M17,_xlpm.m_qty,_xlfn.XLOOKUP($A17,tbl_Catalog[sku_id],tbl_Catalog[master_carton_qty]),_xlpm.moq,_xlfn.XLOOKUP($A17,tbl_Catalog[sku_id],tbl_Catalog[sku_moq_units]),IF(_xlpm.ip_sys&lt;=_xlpm.rop_sys,_xlfn.CEILING.MATH(MAX(_xlpm.s_max-_xlpm.ip_sys,_xlpm.moq),_xlpm.m_qty),0))</f>
        <v>6400</v>
      </c>
      <c r="Q17" s="30">
        <f>IF(P17&gt;0,(P17/_xlfn.XLOOKUP($A17,tbl_Catalog[sku_id],tbl_Catalog[master_carton_qty]))*_xlfn.XLOOKUP($A17,tbl_Catalog[sku_id],tbl_Catalog[carton_volume_cbm]),0)</f>
        <v>3.84</v>
      </c>
      <c r="R17" s="41">
        <v>0</v>
      </c>
      <c r="S17" s="41">
        <v>0</v>
      </c>
      <c r="T17" s="41">
        <f>S17*_xlfn.XLOOKUP($A17,tbl_Catalog[sku_id],tbl_Catalog[master_carton_qty])</f>
        <v>0</v>
      </c>
      <c r="U17" s="46">
        <f t="shared" si="4"/>
        <v>0</v>
      </c>
      <c r="V17" s="41">
        <f>IF(_xlfn.XLOOKUP($A17,tbl_Catalog[sku_id],tbl_Catalog[master_carton_qty])&gt;0,U17/_xlfn.XLOOKUP($A17,tbl_Catalog[sku_id],tbl_Catalog[master_carton_qty]),0)</f>
        <v>0</v>
      </c>
      <c r="W17" s="38">
        <f>V17*_xlfn.XLOOKUP($A17,tbl_Catalog[sku_id],tbl_Catalog[carton_volume_cbm])</f>
        <v>0</v>
      </c>
      <c r="X17" s="4" t="str">
        <f t="shared" si="5"/>
        <v>DEFERRED / NO PO</v>
      </c>
      <c r="Y17" s="4" t="str">
        <f>IF(U17=0,"N/A",IF(AND(MOD(U17,_xlfn.XLOOKUP($A17,tbl_Catalog[sku_id],tbl_Catalog[master_carton_qty]))=0,U17&gt;=_xlfn.XLOOKUP($A17,tbl_Catalog[sku_id],tbl_Catalog[sku_moq_units])),"MOQ OK","CHECK"))</f>
        <v>N/A</v>
      </c>
      <c r="Z17" s="4" t="str">
        <f t="shared" si="6"/>
        <v>N/A</v>
      </c>
      <c r="AA17" s="41">
        <v>0</v>
      </c>
      <c r="AB17" s="41">
        <v>58</v>
      </c>
      <c r="AC17" s="4" t="b">
        <v>0</v>
      </c>
    </row>
    <row r="18" spans="1:29" x14ac:dyDescent="0.3">
      <c r="A18" s="36" t="s">
        <v>222</v>
      </c>
      <c r="B18" s="16" t="s">
        <v>165</v>
      </c>
      <c r="C18" s="4" t="s">
        <v>221</v>
      </c>
      <c r="D18" s="41">
        <v>0</v>
      </c>
      <c r="E18" s="41">
        <v>0</v>
      </c>
      <c r="F18" s="42">
        <f>'03_FBA_Nivel1_Transfer'!E18+D18-E18</f>
        <v>658</v>
      </c>
      <c r="G18" s="39">
        <f>'02_Demand_Unconstraining'!R18</f>
        <v>36.914200000000001</v>
      </c>
      <c r="H18" s="30">
        <f>'02_Demand_Unconstraining'!S18</f>
        <v>9.1138999999999992</v>
      </c>
      <c r="I18" s="29">
        <f>_xlfn.XLOOKUP($A18,tbl_Catalog[sku_id],tbl_Catalog[z_score])</f>
        <v>2.0539999999999998</v>
      </c>
      <c r="J18" s="41">
        <f t="shared" si="0"/>
        <v>776</v>
      </c>
      <c r="K18" s="41">
        <f>'03_FBA_Nivel1_Transfer'!N18</f>
        <v>880</v>
      </c>
      <c r="L18" s="41">
        <f t="shared" si="1"/>
        <v>4425</v>
      </c>
      <c r="M18" s="44">
        <f t="shared" si="2"/>
        <v>6086</v>
      </c>
      <c r="N18" s="41">
        <f>_xlfn.CEILING.MATH(_xlfn.XLOOKUP($A18,tbl_Catalog[sku_id],tbl_Catalog[sku_moq_units])/_xlfn.XLOOKUP($A18,tbl_Catalog[sku_id],tbl_Catalog[master_carton_qty]),1)</f>
        <v>3</v>
      </c>
      <c r="O18" s="31">
        <f t="shared" si="3"/>
        <v>-102.04745057457563</v>
      </c>
      <c r="P18" s="48">
        <f>_xlfn.LET(_xlpm.ip_sys,$F18,_xlpm.rop_sys,$L18,_xlpm.s_max,$M18,_xlpm.m_qty,_xlfn.XLOOKUP($A18,tbl_Catalog[sku_id],tbl_Catalog[master_carton_qty]),_xlpm.moq,_xlfn.XLOOKUP($A18,tbl_Catalog[sku_id],tbl_Catalog[sku_moq_units]),IF(_xlpm.ip_sys&lt;=_xlpm.rop_sys,_xlfn.CEILING.MATH(MAX(_xlpm.s_max-_xlpm.ip_sys,_xlpm.moq),_xlpm.m_qty),0))</f>
        <v>5500</v>
      </c>
      <c r="Q18" s="30">
        <f>IF(P18&gt;0,(P18/_xlfn.XLOOKUP($A18,tbl_Catalog[sku_id],tbl_Catalog[master_carton_qty]))*_xlfn.XLOOKUP($A18,tbl_Catalog[sku_id],tbl_Catalog[carton_volume_cbm]),0)</f>
        <v>3.3</v>
      </c>
      <c r="R18" s="41">
        <v>4300</v>
      </c>
      <c r="S18" s="41">
        <v>0</v>
      </c>
      <c r="T18" s="41">
        <f>S18*_xlfn.XLOOKUP($A18,tbl_Catalog[sku_id],tbl_Catalog[master_carton_qty])</f>
        <v>0</v>
      </c>
      <c r="U18" s="46">
        <f t="shared" si="4"/>
        <v>4300</v>
      </c>
      <c r="V18" s="41">
        <f>IF(_xlfn.XLOOKUP($A18,tbl_Catalog[sku_id],tbl_Catalog[master_carton_qty])&gt;0,U18/_xlfn.XLOOKUP($A18,tbl_Catalog[sku_id],tbl_Catalog[master_carton_qty]),0)</f>
        <v>43</v>
      </c>
      <c r="W18" s="38">
        <f>V18*_xlfn.XLOOKUP($A18,tbl_Catalog[sku_id],tbl_Catalog[carton_volume_cbm])</f>
        <v>2.58</v>
      </c>
      <c r="X18" s="4" t="str">
        <f t="shared" si="5"/>
        <v>BASE LOAD</v>
      </c>
      <c r="Y18" s="4" t="str">
        <f>IF(U18=0,"N/A",IF(AND(MOD(U18,_xlfn.XLOOKUP($A18,tbl_Catalog[sku_id],tbl_Catalog[master_carton_qty]))=0,U18&gt;=_xlfn.XLOOKUP($A18,tbl_Catalog[sku_id],tbl_Catalog[sku_moq_units])),"MOQ OK","CHECK"))</f>
        <v>MOQ OK</v>
      </c>
      <c r="Z18" s="4" t="str">
        <f t="shared" si="6"/>
        <v>DOS OK</v>
      </c>
      <c r="AA18" s="41">
        <v>1600</v>
      </c>
      <c r="AB18" s="41">
        <v>0</v>
      </c>
      <c r="AC18" s="4" t="b">
        <v>0</v>
      </c>
    </row>
    <row r="19" spans="1:29" x14ac:dyDescent="0.3">
      <c r="A19" s="36" t="s">
        <v>225</v>
      </c>
      <c r="B19" s="16" t="s">
        <v>165</v>
      </c>
      <c r="C19" s="4" t="s">
        <v>221</v>
      </c>
      <c r="D19" s="41">
        <v>1864</v>
      </c>
      <c r="E19" s="41">
        <v>0</v>
      </c>
      <c r="F19" s="42">
        <f>'03_FBA_Nivel1_Transfer'!E19+D19-E19</f>
        <v>1864</v>
      </c>
      <c r="G19" s="39">
        <f>'02_Demand_Unconstraining'!R19</f>
        <v>51.186</v>
      </c>
      <c r="H19" s="30">
        <f>'02_Demand_Unconstraining'!S19</f>
        <v>12.5816</v>
      </c>
      <c r="I19" s="29">
        <f>_xlfn.XLOOKUP($A19,tbl_Catalog[sku_id],tbl_Catalog[z_score])</f>
        <v>2.0539999999999998</v>
      </c>
      <c r="J19" s="41">
        <f t="shared" si="0"/>
        <v>1075</v>
      </c>
      <c r="K19" s="41">
        <f>'03_FBA_Nivel1_Transfer'!N19</f>
        <v>1167</v>
      </c>
      <c r="L19" s="41">
        <f t="shared" si="1"/>
        <v>6081</v>
      </c>
      <c r="M19" s="44">
        <f t="shared" si="2"/>
        <v>8385</v>
      </c>
      <c r="N19" s="41">
        <f>_xlfn.CEILING.MATH(_xlfn.XLOOKUP($A19,tbl_Catalog[sku_id],tbl_Catalog[sku_moq_units])/_xlfn.XLOOKUP($A19,tbl_Catalog[sku_id],tbl_Catalog[master_carton_qty]),1)</f>
        <v>3</v>
      </c>
      <c r="O19" s="31">
        <f t="shared" si="3"/>
        <v>-82.385808619544406</v>
      </c>
      <c r="P19" s="48">
        <f>_xlfn.LET(_xlpm.ip_sys,$F19,_xlpm.rop_sys,$L19,_xlpm.s_max,$M19,_xlpm.m_qty,_xlfn.XLOOKUP($A19,tbl_Catalog[sku_id],tbl_Catalog[master_carton_qty]),_xlpm.moq,_xlfn.XLOOKUP($A19,tbl_Catalog[sku_id],tbl_Catalog[sku_moq_units]),IF(_xlpm.ip_sys&lt;=_xlpm.rop_sys,_xlfn.CEILING.MATH(MAX(_xlpm.s_max-_xlpm.ip_sys,_xlpm.moq),_xlpm.m_qty),0))</f>
        <v>6600</v>
      </c>
      <c r="Q19" s="30">
        <f>IF(P19&gt;0,(P19/_xlfn.XLOOKUP($A19,tbl_Catalog[sku_id],tbl_Catalog[master_carton_qty]))*_xlfn.XLOOKUP($A19,tbl_Catalog[sku_id],tbl_Catalog[carton_volume_cbm]),0)</f>
        <v>3.96</v>
      </c>
      <c r="R19" s="41">
        <v>0</v>
      </c>
      <c r="S19" s="41">
        <v>0</v>
      </c>
      <c r="T19" s="41">
        <f>S19*_xlfn.XLOOKUP($A19,tbl_Catalog[sku_id],tbl_Catalog[master_carton_qty])</f>
        <v>0</v>
      </c>
      <c r="U19" s="46">
        <f t="shared" si="4"/>
        <v>0</v>
      </c>
      <c r="V19" s="41">
        <f>IF(_xlfn.XLOOKUP($A19,tbl_Catalog[sku_id],tbl_Catalog[master_carton_qty])&gt;0,U19/_xlfn.XLOOKUP($A19,tbl_Catalog[sku_id],tbl_Catalog[master_carton_qty]),0)</f>
        <v>0</v>
      </c>
      <c r="W19" s="38">
        <f>V19*_xlfn.XLOOKUP($A19,tbl_Catalog[sku_id],tbl_Catalog[carton_volume_cbm])</f>
        <v>0</v>
      </c>
      <c r="X19" s="4" t="str">
        <f t="shared" si="5"/>
        <v>DEFERRED / NO PO</v>
      </c>
      <c r="Y19" s="4" t="str">
        <f>IF(U19=0,"N/A",IF(AND(MOD(U19,_xlfn.XLOOKUP($A19,tbl_Catalog[sku_id],tbl_Catalog[master_carton_qty]))=0,U19&gt;=_xlfn.XLOOKUP($A19,tbl_Catalog[sku_id],tbl_Catalog[sku_moq_units])),"MOQ OK","CHECK"))</f>
        <v>N/A</v>
      </c>
      <c r="Z19" s="4" t="str">
        <f t="shared" si="6"/>
        <v>N/A</v>
      </c>
      <c r="AA19" s="41">
        <v>0</v>
      </c>
      <c r="AB19" s="41">
        <v>50</v>
      </c>
      <c r="AC19" s="4" t="b">
        <v>0</v>
      </c>
    </row>
    <row r="20" spans="1:29" x14ac:dyDescent="0.3">
      <c r="A20" s="36" t="s">
        <v>228</v>
      </c>
      <c r="B20" s="16" t="s">
        <v>165</v>
      </c>
      <c r="C20" s="4" t="s">
        <v>221</v>
      </c>
      <c r="D20" s="41">
        <v>0</v>
      </c>
      <c r="E20" s="41">
        <v>0</v>
      </c>
      <c r="F20" s="42">
        <f>'03_FBA_Nivel1_Transfer'!E20+D20-E20</f>
        <v>233</v>
      </c>
      <c r="G20" s="39">
        <f>'02_Demand_Unconstraining'!R20</f>
        <v>26.7639</v>
      </c>
      <c r="H20" s="30">
        <f>'02_Demand_Unconstraining'!S20</f>
        <v>6.3231000000000002</v>
      </c>
      <c r="I20" s="29">
        <f>_xlfn.XLOOKUP($A20,tbl_Catalog[sku_id],tbl_Catalog[z_score])</f>
        <v>2.0539999999999998</v>
      </c>
      <c r="J20" s="41">
        <f t="shared" si="0"/>
        <v>562</v>
      </c>
      <c r="K20" s="41">
        <f>'03_FBA_Nivel1_Transfer'!N20</f>
        <v>557</v>
      </c>
      <c r="L20" s="41">
        <f t="shared" si="1"/>
        <v>3127</v>
      </c>
      <c r="M20" s="44">
        <f t="shared" si="2"/>
        <v>4331</v>
      </c>
      <c r="N20" s="41">
        <f>_xlfn.CEILING.MATH(_xlfn.XLOOKUP($A20,tbl_Catalog[sku_id],tbl_Catalog[sku_moq_units])/_xlfn.XLOOKUP($A20,tbl_Catalog[sku_id],tbl_Catalog[master_carton_qty]),1)</f>
        <v>3</v>
      </c>
      <c r="O20" s="31">
        <f t="shared" si="3"/>
        <v>-108.13072833182011</v>
      </c>
      <c r="P20" s="48">
        <f>_xlfn.LET(_xlpm.ip_sys,$F20,_xlpm.rop_sys,$L20,_xlpm.s_max,$M20,_xlpm.m_qty,_xlfn.XLOOKUP($A20,tbl_Catalog[sku_id],tbl_Catalog[master_carton_qty]),_xlpm.moq,_xlfn.XLOOKUP($A20,tbl_Catalog[sku_id],tbl_Catalog[sku_moq_units]),IF(_xlpm.ip_sys&lt;=_xlpm.rop_sys,_xlfn.CEILING.MATH(MAX(_xlpm.s_max-_xlpm.ip_sys,_xlpm.moq),_xlpm.m_qty),0))</f>
        <v>4100</v>
      </c>
      <c r="Q20" s="30">
        <f>IF(P20&gt;0,(P20/_xlfn.XLOOKUP($A20,tbl_Catalog[sku_id],tbl_Catalog[master_carton_qty]))*_xlfn.XLOOKUP($A20,tbl_Catalog[sku_id],tbl_Catalog[carton_volume_cbm]),0)</f>
        <v>2.46</v>
      </c>
      <c r="R20" s="41">
        <v>3300</v>
      </c>
      <c r="S20" s="41">
        <v>0</v>
      </c>
      <c r="T20" s="41">
        <f>S20*_xlfn.XLOOKUP($A20,tbl_Catalog[sku_id],tbl_Catalog[master_carton_qty])</f>
        <v>0</v>
      </c>
      <c r="U20" s="46">
        <f t="shared" si="4"/>
        <v>3300</v>
      </c>
      <c r="V20" s="41">
        <f>IF(_xlfn.XLOOKUP($A20,tbl_Catalog[sku_id],tbl_Catalog[master_carton_qty])&gt;0,U20/_xlfn.XLOOKUP($A20,tbl_Catalog[sku_id],tbl_Catalog[master_carton_qty]),0)</f>
        <v>33</v>
      </c>
      <c r="W20" s="38">
        <f>V20*_xlfn.XLOOKUP($A20,tbl_Catalog[sku_id],tbl_Catalog[carton_volume_cbm])</f>
        <v>1.98</v>
      </c>
      <c r="X20" s="4" t="str">
        <f t="shared" si="5"/>
        <v>BASE LOAD</v>
      </c>
      <c r="Y20" s="4" t="str">
        <f>IF(U20=0,"N/A",IF(AND(MOD(U20,_xlfn.XLOOKUP($A20,tbl_Catalog[sku_id],tbl_Catalog[master_carton_qty]))=0,U20&gt;=_xlfn.XLOOKUP($A20,tbl_Catalog[sku_id],tbl_Catalog[sku_moq_units])),"MOQ OK","CHECK"))</f>
        <v>MOQ OK</v>
      </c>
      <c r="Z20" s="4" t="str">
        <f t="shared" si="6"/>
        <v>DOS OK</v>
      </c>
      <c r="AA20" s="41">
        <v>1500</v>
      </c>
      <c r="AB20" s="41">
        <v>0</v>
      </c>
      <c r="AC20" s="4" t="b">
        <v>0</v>
      </c>
    </row>
    <row r="21" spans="1:29" x14ac:dyDescent="0.3">
      <c r="A21" s="36" t="s">
        <v>231</v>
      </c>
      <c r="B21" s="16" t="s">
        <v>165</v>
      </c>
      <c r="C21" s="4" t="s">
        <v>221</v>
      </c>
      <c r="D21" s="41">
        <v>826</v>
      </c>
      <c r="E21" s="41">
        <v>0</v>
      </c>
      <c r="F21" s="42">
        <f>'03_FBA_Nivel1_Transfer'!E21+D21-E21</f>
        <v>1387</v>
      </c>
      <c r="G21" s="39">
        <f>'02_Demand_Unconstraining'!R21</f>
        <v>27.133400000000002</v>
      </c>
      <c r="H21" s="30">
        <f>'02_Demand_Unconstraining'!S21</f>
        <v>5.5373000000000001</v>
      </c>
      <c r="I21" s="29">
        <f>_xlfn.XLOOKUP($A21,tbl_Catalog[sku_id],tbl_Catalog[z_score])</f>
        <v>2.0539999999999998</v>
      </c>
      <c r="J21" s="41">
        <f t="shared" si="0"/>
        <v>566</v>
      </c>
      <c r="K21" s="41">
        <f>'03_FBA_Nivel1_Transfer'!N21</f>
        <v>639</v>
      </c>
      <c r="L21" s="41">
        <f t="shared" si="1"/>
        <v>3241</v>
      </c>
      <c r="M21" s="44">
        <f t="shared" si="2"/>
        <v>4462</v>
      </c>
      <c r="N21" s="41">
        <f>_xlfn.CEILING.MATH(_xlfn.XLOOKUP($A21,tbl_Catalog[sku_id],tbl_Catalog[sku_moq_units])/_xlfn.XLOOKUP($A21,tbl_Catalog[sku_id],tbl_Catalog[master_carton_qty]),1)</f>
        <v>3</v>
      </c>
      <c r="O21" s="31">
        <f t="shared" si="3"/>
        <v>-68.329070444544357</v>
      </c>
      <c r="P21" s="48">
        <f>_xlfn.LET(_xlpm.ip_sys,$F21,_xlpm.rop_sys,$L21,_xlpm.s_max,$M21,_xlpm.m_qty,_xlfn.XLOOKUP($A21,tbl_Catalog[sku_id],tbl_Catalog[master_carton_qty]),_xlpm.moq,_xlfn.XLOOKUP($A21,tbl_Catalog[sku_id],tbl_Catalog[sku_moq_units]),IF(_xlpm.ip_sys&lt;=_xlpm.rop_sys,_xlfn.CEILING.MATH(MAX(_xlpm.s_max-_xlpm.ip_sys,_xlpm.moq),_xlpm.m_qty),0))</f>
        <v>3100</v>
      </c>
      <c r="Q21" s="30">
        <f>IF(P21&gt;0,(P21/_xlfn.XLOOKUP($A21,tbl_Catalog[sku_id],tbl_Catalog[master_carton_qty]))*_xlfn.XLOOKUP($A21,tbl_Catalog[sku_id],tbl_Catalog[carton_volume_cbm]),0)</f>
        <v>1.8599999999999999</v>
      </c>
      <c r="R21" s="41">
        <v>0</v>
      </c>
      <c r="S21" s="41">
        <v>0</v>
      </c>
      <c r="T21" s="41">
        <f>S21*_xlfn.XLOOKUP($A21,tbl_Catalog[sku_id],tbl_Catalog[master_carton_qty])</f>
        <v>0</v>
      </c>
      <c r="U21" s="46">
        <f t="shared" si="4"/>
        <v>0</v>
      </c>
      <c r="V21" s="41">
        <f>IF(_xlfn.XLOOKUP($A21,tbl_Catalog[sku_id],tbl_Catalog[master_carton_qty])&gt;0,U21/_xlfn.XLOOKUP($A21,tbl_Catalog[sku_id],tbl_Catalog[master_carton_qty]),0)</f>
        <v>0</v>
      </c>
      <c r="W21" s="38">
        <f>V21*_xlfn.XLOOKUP($A21,tbl_Catalog[sku_id],tbl_Catalog[carton_volume_cbm])</f>
        <v>0</v>
      </c>
      <c r="X21" s="4" t="str">
        <f t="shared" si="5"/>
        <v>DEFERRED / NO PO</v>
      </c>
      <c r="Y21" s="4" t="str">
        <f>IF(U21=0,"N/A",IF(AND(MOD(U21,_xlfn.XLOOKUP($A21,tbl_Catalog[sku_id],tbl_Catalog[master_carton_qty]))=0,U21&gt;=_xlfn.XLOOKUP($A21,tbl_Catalog[sku_id],tbl_Catalog[sku_moq_units])),"MOQ OK","CHECK"))</f>
        <v>N/A</v>
      </c>
      <c r="Z21" s="4" t="str">
        <f t="shared" si="6"/>
        <v>N/A</v>
      </c>
      <c r="AA21" s="41">
        <v>0</v>
      </c>
      <c r="AB21" s="41">
        <v>22</v>
      </c>
      <c r="AC21" s="4" t="b">
        <v>0</v>
      </c>
    </row>
    <row r="22" spans="1:29" x14ac:dyDescent="0.3">
      <c r="A22" s="36" t="s">
        <v>234</v>
      </c>
      <c r="B22" s="16" t="s">
        <v>165</v>
      </c>
      <c r="C22" s="4" t="s">
        <v>184</v>
      </c>
      <c r="D22" s="41">
        <v>35</v>
      </c>
      <c r="E22" s="41">
        <v>0</v>
      </c>
      <c r="F22" s="42">
        <f>'03_FBA_Nivel1_Transfer'!E22+D22-E22</f>
        <v>35</v>
      </c>
      <c r="G22" s="39">
        <f>'02_Demand_Unconstraining'!R22</f>
        <v>2.9079999999999999</v>
      </c>
      <c r="H22" s="30">
        <f>'02_Demand_Unconstraining'!S22</f>
        <v>1.1581999999999999</v>
      </c>
      <c r="I22" s="29">
        <f>_xlfn.XLOOKUP($A22,tbl_Catalog[sku_id],tbl_Catalog[z_score])</f>
        <v>1.645</v>
      </c>
      <c r="J22" s="41">
        <f t="shared" si="0"/>
        <v>51</v>
      </c>
      <c r="K22" s="41">
        <f>'03_FBA_Nivel1_Transfer'!N22</f>
        <v>13</v>
      </c>
      <c r="L22" s="41">
        <f t="shared" si="1"/>
        <v>283</v>
      </c>
      <c r="M22" s="44">
        <f t="shared" si="2"/>
        <v>413</v>
      </c>
      <c r="N22" s="41">
        <f>_xlfn.CEILING.MATH(_xlfn.XLOOKUP($A22,tbl_Catalog[sku_id],tbl_Catalog[sku_moq_units])/_xlfn.XLOOKUP($A22,tbl_Catalog[sku_id],tbl_Catalog[master_carton_qty]),1)</f>
        <v>3</v>
      </c>
      <c r="O22" s="31">
        <f t="shared" si="3"/>
        <v>-85.281980742778543</v>
      </c>
      <c r="P22" s="48">
        <f>_xlfn.LET(_xlpm.ip_sys,$F22,_xlpm.rop_sys,$L22,_xlpm.s_max,$M22,_xlpm.m_qty,_xlfn.XLOOKUP($A22,tbl_Catalog[sku_id],tbl_Catalog[master_carton_qty]),_xlpm.moq,_xlfn.XLOOKUP($A22,tbl_Catalog[sku_id],tbl_Catalog[sku_moq_units]),IF(_xlpm.ip_sys&lt;=_xlpm.rop_sys,_xlfn.CEILING.MATH(MAX(_xlpm.s_max-_xlpm.ip_sys,_xlpm.moq),_xlpm.m_qty),0))</f>
        <v>400</v>
      </c>
      <c r="Q22" s="30">
        <f>IF(P22&gt;0,(P22/_xlfn.XLOOKUP($A22,tbl_Catalog[sku_id],tbl_Catalog[master_carton_qty]))*_xlfn.XLOOKUP($A22,tbl_Catalog[sku_id],tbl_Catalog[carton_volume_cbm]),0)</f>
        <v>0.24</v>
      </c>
      <c r="R22" s="41">
        <v>0</v>
      </c>
      <c r="S22" s="41">
        <v>0</v>
      </c>
      <c r="T22" s="41">
        <f>S22*_xlfn.XLOOKUP($A22,tbl_Catalog[sku_id],tbl_Catalog[master_carton_qty])</f>
        <v>0</v>
      </c>
      <c r="U22" s="46">
        <f t="shared" si="4"/>
        <v>0</v>
      </c>
      <c r="V22" s="41">
        <f>IF(_xlfn.XLOOKUP($A22,tbl_Catalog[sku_id],tbl_Catalog[master_carton_qty])&gt;0,U22/_xlfn.XLOOKUP($A22,tbl_Catalog[sku_id],tbl_Catalog[master_carton_qty]),0)</f>
        <v>0</v>
      </c>
      <c r="W22" s="38">
        <f>V22*_xlfn.XLOOKUP($A22,tbl_Catalog[sku_id],tbl_Catalog[carton_volume_cbm])</f>
        <v>0</v>
      </c>
      <c r="X22" s="4" t="str">
        <f t="shared" si="5"/>
        <v>DEFERRED / NO PO</v>
      </c>
      <c r="Y22" s="4" t="str">
        <f>IF(U22=0,"N/A",IF(AND(MOD(U22,_xlfn.XLOOKUP($A22,tbl_Catalog[sku_id],tbl_Catalog[master_carton_qty]))=0,U22&gt;=_xlfn.XLOOKUP($A22,tbl_Catalog[sku_id],tbl_Catalog[sku_moq_units])),"MOQ OK","CHECK"))</f>
        <v>N/A</v>
      </c>
      <c r="Z22" s="4" t="str">
        <f t="shared" si="6"/>
        <v>N/A</v>
      </c>
      <c r="AA22" s="41">
        <v>300</v>
      </c>
      <c r="AB22" s="41">
        <v>3</v>
      </c>
      <c r="AC22" s="4" t="b">
        <v>0</v>
      </c>
    </row>
    <row r="23" spans="1:29" x14ac:dyDescent="0.3">
      <c r="A23" s="36" t="s">
        <v>237</v>
      </c>
      <c r="B23" s="16" t="s">
        <v>165</v>
      </c>
      <c r="C23" s="4" t="s">
        <v>221</v>
      </c>
      <c r="D23" s="41">
        <v>0</v>
      </c>
      <c r="E23" s="41">
        <v>0</v>
      </c>
      <c r="F23" s="42">
        <f>'03_FBA_Nivel1_Transfer'!E23+D23-E23</f>
        <v>0</v>
      </c>
      <c r="G23" s="39">
        <f>'02_Demand_Unconstraining'!R23</f>
        <v>27.3324</v>
      </c>
      <c r="H23" s="30">
        <f>'02_Demand_Unconstraining'!S23</f>
        <v>6.6406999999999998</v>
      </c>
      <c r="I23" s="29">
        <f>_xlfn.XLOOKUP($A23,tbl_Catalog[sku_id],tbl_Catalog[z_score])</f>
        <v>2.0539999999999998</v>
      </c>
      <c r="J23" s="41">
        <f t="shared" si="0"/>
        <v>574</v>
      </c>
      <c r="K23" s="41">
        <f>'03_FBA_Nivel1_Transfer'!N23</f>
        <v>613</v>
      </c>
      <c r="L23" s="41">
        <f t="shared" si="1"/>
        <v>3237</v>
      </c>
      <c r="M23" s="44">
        <f t="shared" si="2"/>
        <v>4467</v>
      </c>
      <c r="N23" s="41">
        <f>_xlfn.CEILING.MATH(_xlfn.XLOOKUP($A23,tbl_Catalog[sku_id],tbl_Catalog[sku_moq_units])/_xlfn.XLOOKUP($A23,tbl_Catalog[sku_id],tbl_Catalog[master_carton_qty]),1)</f>
        <v>3</v>
      </c>
      <c r="O23" s="31">
        <f t="shared" si="3"/>
        <v>-118.43087324933046</v>
      </c>
      <c r="P23" s="48">
        <f>_xlfn.LET(_xlpm.ip_sys,$F23,_xlpm.rop_sys,$L23,_xlpm.s_max,$M23,_xlpm.m_qty,_xlfn.XLOOKUP($A23,tbl_Catalog[sku_id],tbl_Catalog[master_carton_qty]),_xlpm.moq,_xlfn.XLOOKUP($A23,tbl_Catalog[sku_id],tbl_Catalog[sku_moq_units]),IF(_xlpm.ip_sys&lt;=_xlpm.rop_sys,_xlfn.CEILING.MATH(MAX(_xlpm.s_max-_xlpm.ip_sys,_xlpm.moq),_xlpm.m_qty),0))</f>
        <v>4500</v>
      </c>
      <c r="Q23" s="30">
        <f>IF(P23&gt;0,(P23/_xlfn.XLOOKUP($A23,tbl_Catalog[sku_id],tbl_Catalog[master_carton_qty]))*_xlfn.XLOOKUP($A23,tbl_Catalog[sku_id],tbl_Catalog[carton_volume_cbm]),0)</f>
        <v>2.6999999999999997</v>
      </c>
      <c r="R23" s="41">
        <v>3600</v>
      </c>
      <c r="S23" s="41">
        <v>0</v>
      </c>
      <c r="T23" s="41">
        <f>S23*_xlfn.XLOOKUP($A23,tbl_Catalog[sku_id],tbl_Catalog[master_carton_qty])</f>
        <v>0</v>
      </c>
      <c r="U23" s="46">
        <f t="shared" si="4"/>
        <v>3600</v>
      </c>
      <c r="V23" s="41">
        <f>IF(_xlfn.XLOOKUP($A23,tbl_Catalog[sku_id],tbl_Catalog[master_carton_qty])&gt;0,U23/_xlfn.XLOOKUP($A23,tbl_Catalog[sku_id],tbl_Catalog[master_carton_qty]),0)</f>
        <v>36</v>
      </c>
      <c r="W23" s="38">
        <f>V23*_xlfn.XLOOKUP($A23,tbl_Catalog[sku_id],tbl_Catalog[carton_volume_cbm])</f>
        <v>2.16</v>
      </c>
      <c r="X23" s="4" t="str">
        <f t="shared" si="5"/>
        <v>BASE LOAD</v>
      </c>
      <c r="Y23" s="4" t="str">
        <f>IF(U23=0,"N/A",IF(AND(MOD(U23,_xlfn.XLOOKUP($A23,tbl_Catalog[sku_id],tbl_Catalog[master_carton_qty]))=0,U23&gt;=_xlfn.XLOOKUP($A23,tbl_Catalog[sku_id],tbl_Catalog[sku_moq_units])),"MOQ OK","CHECK"))</f>
        <v>MOQ OK</v>
      </c>
      <c r="Z23" s="4" t="str">
        <f t="shared" si="6"/>
        <v>DOS OK</v>
      </c>
      <c r="AA23" s="41">
        <v>1200</v>
      </c>
      <c r="AB23" s="41">
        <v>0</v>
      </c>
      <c r="AC23" s="4" t="b">
        <v>0</v>
      </c>
    </row>
    <row r="24" spans="1:29" x14ac:dyDescent="0.3">
      <c r="A24" s="36" t="s">
        <v>240</v>
      </c>
      <c r="B24" s="16" t="s">
        <v>165</v>
      </c>
      <c r="C24" s="4" t="s">
        <v>184</v>
      </c>
      <c r="D24" s="41">
        <v>195</v>
      </c>
      <c r="E24" s="41">
        <v>0</v>
      </c>
      <c r="F24" s="42">
        <f>'03_FBA_Nivel1_Transfer'!E24+D24-E24</f>
        <v>195</v>
      </c>
      <c r="G24" s="39">
        <f>'02_Demand_Unconstraining'!R24</f>
        <v>3.2999000000000001</v>
      </c>
      <c r="H24" s="30">
        <f>'02_Demand_Unconstraining'!S24</f>
        <v>0.85629999999999995</v>
      </c>
      <c r="I24" s="29">
        <f>_xlfn.XLOOKUP($A24,tbl_Catalog[sku_id],tbl_Catalog[z_score])</f>
        <v>1.645</v>
      </c>
      <c r="J24" s="41">
        <f t="shared" si="0"/>
        <v>56</v>
      </c>
      <c r="K24" s="41">
        <f>'03_FBA_Nivel1_Transfer'!N24</f>
        <v>12</v>
      </c>
      <c r="L24" s="41">
        <f t="shared" si="1"/>
        <v>316</v>
      </c>
      <c r="M24" s="44">
        <f t="shared" si="2"/>
        <v>464</v>
      </c>
      <c r="N24" s="41">
        <f>_xlfn.CEILING.MATH(_xlfn.XLOOKUP($A24,tbl_Catalog[sku_id],tbl_Catalog[sku_moq_units])/_xlfn.XLOOKUP($A24,tbl_Catalog[sku_id],tbl_Catalog[master_carton_qty]),1)</f>
        <v>3</v>
      </c>
      <c r="O24" s="31">
        <f t="shared" si="3"/>
        <v>-36.667777811448829</v>
      </c>
      <c r="P24" s="48">
        <f>_xlfn.LET(_xlpm.ip_sys,$F24,_xlpm.rop_sys,$L24,_xlpm.s_max,$M24,_xlpm.m_qty,_xlfn.XLOOKUP($A24,tbl_Catalog[sku_id],tbl_Catalog[master_carton_qty]),_xlpm.moq,_xlfn.XLOOKUP($A24,tbl_Catalog[sku_id],tbl_Catalog[sku_moq_units]),IF(_xlpm.ip_sys&lt;=_xlpm.rop_sys,_xlfn.CEILING.MATH(MAX(_xlpm.s_max-_xlpm.ip_sys,_xlpm.moq),_xlpm.m_qty),0))</f>
        <v>300</v>
      </c>
      <c r="Q24" s="30">
        <f>IF(P24&gt;0,(P24/_xlfn.XLOOKUP($A24,tbl_Catalog[sku_id],tbl_Catalog[master_carton_qty]))*_xlfn.XLOOKUP($A24,tbl_Catalog[sku_id],tbl_Catalog[carton_volume_cbm]),0)</f>
        <v>0.18</v>
      </c>
      <c r="R24" s="41">
        <v>0</v>
      </c>
      <c r="S24" s="41">
        <v>0</v>
      </c>
      <c r="T24" s="41">
        <f>S24*_xlfn.XLOOKUP($A24,tbl_Catalog[sku_id],tbl_Catalog[master_carton_qty])</f>
        <v>0</v>
      </c>
      <c r="U24" s="46">
        <f t="shared" si="4"/>
        <v>0</v>
      </c>
      <c r="V24" s="41">
        <f>IF(_xlfn.XLOOKUP($A24,tbl_Catalog[sku_id],tbl_Catalog[master_carton_qty])&gt;0,U24/_xlfn.XLOOKUP($A24,tbl_Catalog[sku_id],tbl_Catalog[master_carton_qty]),0)</f>
        <v>0</v>
      </c>
      <c r="W24" s="38">
        <f>V24*_xlfn.XLOOKUP($A24,tbl_Catalog[sku_id],tbl_Catalog[carton_volume_cbm])</f>
        <v>0</v>
      </c>
      <c r="X24" s="4" t="str">
        <f t="shared" si="5"/>
        <v>DEFERRED / NO PO</v>
      </c>
      <c r="Y24" s="4" t="str">
        <f>IF(U24=0,"N/A",IF(AND(MOD(U24,_xlfn.XLOOKUP($A24,tbl_Catalog[sku_id],tbl_Catalog[master_carton_qty]))=0,U24&gt;=_xlfn.XLOOKUP($A24,tbl_Catalog[sku_id],tbl_Catalog[sku_moq_units])),"MOQ OK","CHECK"))</f>
        <v>N/A</v>
      </c>
      <c r="Z24" s="4" t="str">
        <f t="shared" si="6"/>
        <v>N/A</v>
      </c>
      <c r="AA24" s="41">
        <v>0</v>
      </c>
      <c r="AB24" s="41">
        <v>3</v>
      </c>
      <c r="AC24" s="4" t="b">
        <v>0</v>
      </c>
    </row>
    <row r="25" spans="1:29" x14ac:dyDescent="0.3">
      <c r="A25" s="36" t="s">
        <v>243</v>
      </c>
      <c r="B25" s="16" t="s">
        <v>165</v>
      </c>
      <c r="C25" s="4" t="s">
        <v>172</v>
      </c>
      <c r="D25" s="41">
        <v>0</v>
      </c>
      <c r="E25" s="41">
        <v>0</v>
      </c>
      <c r="F25" s="42">
        <f>'03_FBA_Nivel1_Transfer'!E25+D25-E25</f>
        <v>299</v>
      </c>
      <c r="G25" s="39">
        <f>'02_Demand_Unconstraining'!R25</f>
        <v>17.2316</v>
      </c>
      <c r="H25" s="30">
        <f>'02_Demand_Unconstraining'!S25</f>
        <v>5.7474999999999996</v>
      </c>
      <c r="I25" s="29">
        <f>_xlfn.XLOOKUP($A25,tbl_Catalog[sku_id],tbl_Catalog[z_score])</f>
        <v>1.881</v>
      </c>
      <c r="J25" s="41">
        <f t="shared" si="0"/>
        <v>338</v>
      </c>
      <c r="K25" s="41">
        <f>'03_FBA_Nivel1_Transfer'!N25</f>
        <v>379</v>
      </c>
      <c r="L25" s="41">
        <f t="shared" si="1"/>
        <v>2010</v>
      </c>
      <c r="M25" s="44">
        <f t="shared" si="2"/>
        <v>2785</v>
      </c>
      <c r="N25" s="41">
        <f>_xlfn.CEILING.MATH(_xlfn.XLOOKUP($A25,tbl_Catalog[sku_id],tbl_Catalog[sku_moq_units])/_xlfn.XLOOKUP($A25,tbl_Catalog[sku_id],tbl_Catalog[master_carton_qty]),1)</f>
        <v>3</v>
      </c>
      <c r="O25" s="31">
        <f t="shared" si="3"/>
        <v>-99.29431973815548</v>
      </c>
      <c r="P25" s="48">
        <f>_xlfn.LET(_xlpm.ip_sys,$F25,_xlpm.rop_sys,$L25,_xlpm.s_max,$M25,_xlpm.m_qty,_xlfn.XLOOKUP($A25,tbl_Catalog[sku_id],tbl_Catalog[master_carton_qty]),_xlpm.moq,_xlfn.XLOOKUP($A25,tbl_Catalog[sku_id],tbl_Catalog[sku_moq_units]),IF(_xlpm.ip_sys&lt;=_xlpm.rop_sys,_xlfn.CEILING.MATH(MAX(_xlpm.s_max-_xlpm.ip_sys,_xlpm.moq),_xlpm.m_qty),0))</f>
        <v>2500</v>
      </c>
      <c r="Q25" s="30">
        <f>IF(P25&gt;0,(P25/_xlfn.XLOOKUP($A25,tbl_Catalog[sku_id],tbl_Catalog[master_carton_qty]))*_xlfn.XLOOKUP($A25,tbl_Catalog[sku_id],tbl_Catalog[carton_volume_cbm]),0)</f>
        <v>1.5</v>
      </c>
      <c r="R25" s="41">
        <v>0</v>
      </c>
      <c r="S25" s="41">
        <v>0</v>
      </c>
      <c r="T25" s="41">
        <f>S25*_xlfn.XLOOKUP($A25,tbl_Catalog[sku_id],tbl_Catalog[master_carton_qty])</f>
        <v>0</v>
      </c>
      <c r="U25" s="46">
        <f t="shared" si="4"/>
        <v>0</v>
      </c>
      <c r="V25" s="41">
        <f>IF(_xlfn.XLOOKUP($A25,tbl_Catalog[sku_id],tbl_Catalog[master_carton_qty])&gt;0,U25/_xlfn.XLOOKUP($A25,tbl_Catalog[sku_id],tbl_Catalog[master_carton_qty]),0)</f>
        <v>0</v>
      </c>
      <c r="W25" s="38">
        <f>V25*_xlfn.XLOOKUP($A25,tbl_Catalog[sku_id],tbl_Catalog[carton_volume_cbm])</f>
        <v>0</v>
      </c>
      <c r="X25" s="4" t="str">
        <f t="shared" si="5"/>
        <v>DEFERRED / NO PO</v>
      </c>
      <c r="Y25" s="4" t="str">
        <f>IF(U25=0,"N/A",IF(AND(MOD(U25,_xlfn.XLOOKUP($A25,tbl_Catalog[sku_id],tbl_Catalog[master_carton_qty]))=0,U25&gt;=_xlfn.XLOOKUP($A25,tbl_Catalog[sku_id],tbl_Catalog[sku_moq_units])),"MOQ OK","CHECK"))</f>
        <v>N/A</v>
      </c>
      <c r="Z25" s="4" t="str">
        <f t="shared" si="6"/>
        <v>N/A</v>
      </c>
      <c r="AA25" s="41">
        <v>900</v>
      </c>
      <c r="AB25" s="41">
        <v>20</v>
      </c>
      <c r="AC25" s="4" t="b">
        <v>0</v>
      </c>
    </row>
    <row r="26" spans="1:29" x14ac:dyDescent="0.3">
      <c r="A26" s="36" t="s">
        <v>246</v>
      </c>
      <c r="B26" s="16" t="s">
        <v>165</v>
      </c>
      <c r="C26" s="4" t="s">
        <v>179</v>
      </c>
      <c r="D26" s="41">
        <v>312</v>
      </c>
      <c r="E26" s="41">
        <v>0</v>
      </c>
      <c r="F26" s="42">
        <f>'03_FBA_Nivel1_Transfer'!E26+D26-E26</f>
        <v>312</v>
      </c>
      <c r="G26" s="39">
        <f>'02_Demand_Unconstraining'!R26</f>
        <v>2.2585999999999999</v>
      </c>
      <c r="H26" s="30">
        <f>'02_Demand_Unconstraining'!S26</f>
        <v>1.1993</v>
      </c>
      <c r="I26" s="29">
        <f>_xlfn.XLOOKUP($A26,tbl_Catalog[sku_id],tbl_Catalog[z_score])</f>
        <v>1.645</v>
      </c>
      <c r="J26" s="41">
        <f t="shared" si="0"/>
        <v>41</v>
      </c>
      <c r="K26" s="41">
        <f>'03_FBA_Nivel1_Transfer'!N26</f>
        <v>11</v>
      </c>
      <c r="L26" s="41">
        <f t="shared" si="1"/>
        <v>222</v>
      </c>
      <c r="M26" s="44">
        <f t="shared" si="2"/>
        <v>324</v>
      </c>
      <c r="N26" s="41">
        <f>_xlfn.CEILING.MATH(_xlfn.XLOOKUP($A26,tbl_Catalog[sku_id],tbl_Catalog[sku_moq_units])/_xlfn.XLOOKUP($A26,tbl_Catalog[sku_id],tbl_Catalog[master_carton_qty]),1)</f>
        <v>3</v>
      </c>
      <c r="O26" s="31">
        <f t="shared" si="3"/>
        <v>39.847693261312315</v>
      </c>
      <c r="P26" s="48">
        <f>_xlfn.LET(_xlpm.ip_sys,$F26,_xlpm.rop_sys,$L26,_xlpm.s_max,$M26,_xlpm.m_qty,_xlfn.XLOOKUP($A26,tbl_Catalog[sku_id],tbl_Catalog[master_carton_qty]),_xlpm.moq,_xlfn.XLOOKUP($A26,tbl_Catalog[sku_id],tbl_Catalog[sku_moq_units]),IF(_xlpm.ip_sys&lt;=_xlpm.rop_sys,_xlfn.CEILING.MATH(MAX(_xlpm.s_max-_xlpm.ip_sys,_xlpm.moq),_xlpm.m_qty),0))</f>
        <v>0</v>
      </c>
      <c r="Q26" s="30">
        <f>IF(P26&gt;0,(P26/_xlfn.XLOOKUP($A26,tbl_Catalog[sku_id],tbl_Catalog[master_carton_qty]))*_xlfn.XLOOKUP($A26,tbl_Catalog[sku_id],tbl_Catalog[carton_volume_cbm]),0)</f>
        <v>0</v>
      </c>
      <c r="R26" s="41">
        <v>0</v>
      </c>
      <c r="S26" s="41">
        <v>0</v>
      </c>
      <c r="T26" s="41">
        <f>S26*_xlfn.XLOOKUP($A26,tbl_Catalog[sku_id],tbl_Catalog[master_carton_qty])</f>
        <v>0</v>
      </c>
      <c r="U26" s="46">
        <f t="shared" si="4"/>
        <v>0</v>
      </c>
      <c r="V26" s="41">
        <f>IF(_xlfn.XLOOKUP($A26,tbl_Catalog[sku_id],tbl_Catalog[master_carton_qty])&gt;0,U26/_xlfn.XLOOKUP($A26,tbl_Catalog[sku_id],tbl_Catalog[master_carton_qty]),0)</f>
        <v>0</v>
      </c>
      <c r="W26" s="38">
        <f>V26*_xlfn.XLOOKUP($A26,tbl_Catalog[sku_id],tbl_Catalog[carton_volume_cbm])</f>
        <v>0</v>
      </c>
      <c r="X26" s="4" t="str">
        <f t="shared" si="5"/>
        <v>DEFERRED / NO PO</v>
      </c>
      <c r="Y26" s="4" t="str">
        <f>IF(U26=0,"N/A",IF(AND(MOD(U26,_xlfn.XLOOKUP($A26,tbl_Catalog[sku_id],tbl_Catalog[master_carton_qty]))=0,U26&gt;=_xlfn.XLOOKUP($A26,tbl_Catalog[sku_id],tbl_Catalog[sku_moq_units])),"MOQ OK","CHECK"))</f>
        <v>N/A</v>
      </c>
      <c r="Z26" s="4" t="str">
        <f t="shared" si="6"/>
        <v>N/A</v>
      </c>
      <c r="AA26" s="41">
        <v>0</v>
      </c>
      <c r="AB26" s="41">
        <v>0</v>
      </c>
      <c r="AC26" s="4" t="b">
        <v>0</v>
      </c>
    </row>
    <row r="27" spans="1:29" x14ac:dyDescent="0.3">
      <c r="A27" s="36" t="s">
        <v>249</v>
      </c>
      <c r="B27" s="16" t="s">
        <v>165</v>
      </c>
      <c r="C27" s="4" t="s">
        <v>179</v>
      </c>
      <c r="D27" s="41">
        <v>53</v>
      </c>
      <c r="E27" s="41">
        <v>0</v>
      </c>
      <c r="F27" s="42">
        <f>'03_FBA_Nivel1_Transfer'!E27+D27-E27</f>
        <v>152</v>
      </c>
      <c r="G27" s="39">
        <f>'02_Demand_Unconstraining'!R27</f>
        <v>2.3332999999999999</v>
      </c>
      <c r="H27" s="30">
        <f>'02_Demand_Unconstraining'!S27</f>
        <v>1.2336</v>
      </c>
      <c r="I27" s="29">
        <f>_xlfn.XLOOKUP($A27,tbl_Catalog[sku_id],tbl_Catalog[z_score])</f>
        <v>1.645</v>
      </c>
      <c r="J27" s="41">
        <f t="shared" si="0"/>
        <v>43</v>
      </c>
      <c r="K27" s="41">
        <f>'03_FBA_Nivel1_Transfer'!N27</f>
        <v>12</v>
      </c>
      <c r="L27" s="41">
        <f t="shared" si="1"/>
        <v>230</v>
      </c>
      <c r="M27" s="44">
        <f t="shared" si="2"/>
        <v>335</v>
      </c>
      <c r="N27" s="41">
        <f>_xlfn.CEILING.MATH(_xlfn.XLOOKUP($A27,tbl_Catalog[sku_id],tbl_Catalog[sku_moq_units])/_xlfn.XLOOKUP($A27,tbl_Catalog[sku_id],tbl_Catalog[master_carton_qty]),1)</f>
        <v>3</v>
      </c>
      <c r="O27" s="31">
        <f t="shared" si="3"/>
        <v>-33.429048986414095</v>
      </c>
      <c r="P27" s="48">
        <f>_xlfn.LET(_xlpm.ip_sys,$F27,_xlpm.rop_sys,$L27,_xlpm.s_max,$M27,_xlpm.m_qty,_xlfn.XLOOKUP($A27,tbl_Catalog[sku_id],tbl_Catalog[master_carton_qty]),_xlpm.moq,_xlfn.XLOOKUP($A27,tbl_Catalog[sku_id],tbl_Catalog[sku_moq_units]),IF(_xlpm.ip_sys&lt;=_xlpm.rop_sys,_xlfn.CEILING.MATH(MAX(_xlpm.s_max-_xlpm.ip_sys,_xlpm.moq),_xlpm.m_qty),0))</f>
        <v>300</v>
      </c>
      <c r="Q27" s="30">
        <f>IF(P27&gt;0,(P27/_xlfn.XLOOKUP($A27,tbl_Catalog[sku_id],tbl_Catalog[master_carton_qty]))*_xlfn.XLOOKUP($A27,tbl_Catalog[sku_id],tbl_Catalog[carton_volume_cbm]),0)</f>
        <v>0.18</v>
      </c>
      <c r="R27" s="41">
        <v>0</v>
      </c>
      <c r="S27" s="41">
        <v>0</v>
      </c>
      <c r="T27" s="41">
        <f>S27*_xlfn.XLOOKUP($A27,tbl_Catalog[sku_id],tbl_Catalog[master_carton_qty])</f>
        <v>0</v>
      </c>
      <c r="U27" s="46">
        <f t="shared" si="4"/>
        <v>0</v>
      </c>
      <c r="V27" s="41">
        <f>IF(_xlfn.XLOOKUP($A27,tbl_Catalog[sku_id],tbl_Catalog[master_carton_qty])&gt;0,U27/_xlfn.XLOOKUP($A27,tbl_Catalog[sku_id],tbl_Catalog[master_carton_qty]),0)</f>
        <v>0</v>
      </c>
      <c r="W27" s="38">
        <f>V27*_xlfn.XLOOKUP($A27,tbl_Catalog[sku_id],tbl_Catalog[carton_volume_cbm])</f>
        <v>0</v>
      </c>
      <c r="X27" s="4" t="str">
        <f t="shared" si="5"/>
        <v>DEFERRED / NO PO</v>
      </c>
      <c r="Y27" s="4" t="str">
        <f>IF(U27=0,"N/A",IF(AND(MOD(U27,_xlfn.XLOOKUP($A27,tbl_Catalog[sku_id],tbl_Catalog[master_carton_qty]))=0,U27&gt;=_xlfn.XLOOKUP($A27,tbl_Catalog[sku_id],tbl_Catalog[sku_moq_units])),"MOQ OK","CHECK"))</f>
        <v>N/A</v>
      </c>
      <c r="Z27" s="4" t="str">
        <f t="shared" si="6"/>
        <v>N/A</v>
      </c>
      <c r="AA27" s="41">
        <v>300</v>
      </c>
      <c r="AB27" s="41">
        <v>3</v>
      </c>
      <c r="AC27" s="4" t="b">
        <v>0</v>
      </c>
    </row>
    <row r="28" spans="1:29" x14ac:dyDescent="0.3">
      <c r="A28" s="36" t="s">
        <v>252</v>
      </c>
      <c r="B28" s="16" t="s">
        <v>165</v>
      </c>
      <c r="C28" s="4" t="s">
        <v>188</v>
      </c>
      <c r="D28" s="41">
        <v>318</v>
      </c>
      <c r="E28" s="41">
        <v>0</v>
      </c>
      <c r="F28" s="42">
        <f>'03_FBA_Nivel1_Transfer'!E28+D28-E28</f>
        <v>318</v>
      </c>
      <c r="G28" s="39">
        <f>'02_Demand_Unconstraining'!R28</f>
        <v>0.91920000000000002</v>
      </c>
      <c r="H28" s="30">
        <f>'02_Demand_Unconstraining'!S28</f>
        <v>0.54590000000000005</v>
      </c>
      <c r="I28" s="29">
        <f>_xlfn.XLOOKUP($A28,tbl_Catalog[sku_id],tbl_Catalog[z_score])</f>
        <v>1.282</v>
      </c>
      <c r="J28" s="41">
        <f t="shared" si="0"/>
        <v>14</v>
      </c>
      <c r="K28" s="41">
        <f>'03_FBA_Nivel1_Transfer'!N28</f>
        <v>4</v>
      </c>
      <c r="L28" s="41">
        <f t="shared" si="1"/>
        <v>87</v>
      </c>
      <c r="M28" s="44">
        <f t="shared" si="2"/>
        <v>129</v>
      </c>
      <c r="N28" s="41">
        <f>_xlfn.CEILING.MATH(_xlfn.XLOOKUP($A28,tbl_Catalog[sku_id],tbl_Catalog[sku_moq_units])/_xlfn.XLOOKUP($A28,tbl_Catalog[sku_id],tbl_Catalog[master_carton_qty]),1)</f>
        <v>3</v>
      </c>
      <c r="O28" s="31">
        <f t="shared" si="3"/>
        <v>251.30548302872063</v>
      </c>
      <c r="P28" s="48">
        <f>_xlfn.LET(_xlpm.ip_sys,$F28,_xlpm.rop_sys,$L28,_xlpm.s_max,$M28,_xlpm.m_qty,_xlfn.XLOOKUP($A28,tbl_Catalog[sku_id],tbl_Catalog[master_carton_qty]),_xlpm.moq,_xlfn.XLOOKUP($A28,tbl_Catalog[sku_id],tbl_Catalog[sku_moq_units]),IF(_xlpm.ip_sys&lt;=_xlpm.rop_sys,_xlfn.CEILING.MATH(MAX(_xlpm.s_max-_xlpm.ip_sys,_xlpm.moq),_xlpm.m_qty),0))</f>
        <v>0</v>
      </c>
      <c r="Q28" s="30">
        <f>IF(P28&gt;0,(P28/_xlfn.XLOOKUP($A28,tbl_Catalog[sku_id],tbl_Catalog[master_carton_qty]))*_xlfn.XLOOKUP($A28,tbl_Catalog[sku_id],tbl_Catalog[carton_volume_cbm]),0)</f>
        <v>0</v>
      </c>
      <c r="R28" s="41">
        <v>0</v>
      </c>
      <c r="S28" s="41">
        <v>0</v>
      </c>
      <c r="T28" s="41">
        <f>S28*_xlfn.XLOOKUP($A28,tbl_Catalog[sku_id],tbl_Catalog[master_carton_qty])</f>
        <v>0</v>
      </c>
      <c r="U28" s="46">
        <f t="shared" si="4"/>
        <v>0</v>
      </c>
      <c r="V28" s="41">
        <f>IF(_xlfn.XLOOKUP($A28,tbl_Catalog[sku_id],tbl_Catalog[master_carton_qty])&gt;0,U28/_xlfn.XLOOKUP($A28,tbl_Catalog[sku_id],tbl_Catalog[master_carton_qty]),0)</f>
        <v>0</v>
      </c>
      <c r="W28" s="38">
        <f>V28*_xlfn.XLOOKUP($A28,tbl_Catalog[sku_id],tbl_Catalog[carton_volume_cbm])</f>
        <v>0</v>
      </c>
      <c r="X28" s="4" t="str">
        <f t="shared" si="5"/>
        <v>DEFERRED / NO PO</v>
      </c>
      <c r="Y28" s="4" t="str">
        <f>IF(U28=0,"N/A",IF(AND(MOD(U28,_xlfn.XLOOKUP($A28,tbl_Catalog[sku_id],tbl_Catalog[master_carton_qty]))=0,U28&gt;=_xlfn.XLOOKUP($A28,tbl_Catalog[sku_id],tbl_Catalog[sku_moq_units])),"MOQ OK","CHECK"))</f>
        <v>N/A</v>
      </c>
      <c r="Z28" s="4" t="str">
        <f t="shared" si="6"/>
        <v>N/A</v>
      </c>
      <c r="AA28" s="41">
        <v>0</v>
      </c>
      <c r="AB28" s="41">
        <v>0</v>
      </c>
      <c r="AC28" s="4" t="b">
        <v>0</v>
      </c>
    </row>
    <row r="29" spans="1:29" x14ac:dyDescent="0.3">
      <c r="A29" s="36" t="s">
        <v>255</v>
      </c>
      <c r="B29" s="16" t="s">
        <v>165</v>
      </c>
      <c r="C29" s="4" t="s">
        <v>221</v>
      </c>
      <c r="D29" s="41">
        <v>0</v>
      </c>
      <c r="E29" s="41">
        <v>0</v>
      </c>
      <c r="F29" s="42">
        <f>'03_FBA_Nivel1_Transfer'!E29+D29-E29</f>
        <v>1005</v>
      </c>
      <c r="G29" s="39">
        <f>'02_Demand_Unconstraining'!R29</f>
        <v>57.1462</v>
      </c>
      <c r="H29" s="30">
        <f>'02_Demand_Unconstraining'!S29</f>
        <v>14.4687</v>
      </c>
      <c r="I29" s="29">
        <f>_xlfn.XLOOKUP($A29,tbl_Catalog[sku_id],tbl_Catalog[z_score])</f>
        <v>2.0539999999999998</v>
      </c>
      <c r="J29" s="41">
        <f t="shared" si="0"/>
        <v>1202</v>
      </c>
      <c r="K29" s="41">
        <f>'03_FBA_Nivel1_Transfer'!N29</f>
        <v>1374</v>
      </c>
      <c r="L29" s="41">
        <f t="shared" si="1"/>
        <v>6862</v>
      </c>
      <c r="M29" s="44">
        <f t="shared" si="2"/>
        <v>9434</v>
      </c>
      <c r="N29" s="41">
        <f>_xlfn.CEILING.MATH(_xlfn.XLOOKUP($A29,tbl_Catalog[sku_id],tbl_Catalog[sku_moq_units])/_xlfn.XLOOKUP($A29,tbl_Catalog[sku_id],tbl_Catalog[master_carton_qty]),1)</f>
        <v>3</v>
      </c>
      <c r="O29" s="31">
        <f t="shared" si="3"/>
        <v>-102.49150424700154</v>
      </c>
      <c r="P29" s="48">
        <f>_xlfn.LET(_xlpm.ip_sys,$F29,_xlpm.rop_sys,$L29,_xlpm.s_max,$M29,_xlpm.m_qty,_xlfn.XLOOKUP($A29,tbl_Catalog[sku_id],tbl_Catalog[master_carton_qty]),_xlpm.moq,_xlfn.XLOOKUP($A29,tbl_Catalog[sku_id],tbl_Catalog[sku_moq_units]),IF(_xlpm.ip_sys&lt;=_xlpm.rop_sys,_xlfn.CEILING.MATH(MAX(_xlpm.s_max-_xlpm.ip_sys,_xlpm.moq),_xlpm.m_qty),0))</f>
        <v>8500</v>
      </c>
      <c r="Q29" s="30">
        <f>IF(P29&gt;0,(P29/_xlfn.XLOOKUP($A29,tbl_Catalog[sku_id],tbl_Catalog[master_carton_qty]))*_xlfn.XLOOKUP($A29,tbl_Catalog[sku_id],tbl_Catalog[carton_volume_cbm]),0)</f>
        <v>5.0999999999999996</v>
      </c>
      <c r="R29" s="41">
        <v>6700</v>
      </c>
      <c r="S29" s="41">
        <v>0</v>
      </c>
      <c r="T29" s="41">
        <f>S29*_xlfn.XLOOKUP($A29,tbl_Catalog[sku_id],tbl_Catalog[master_carton_qty])</f>
        <v>0</v>
      </c>
      <c r="U29" s="46">
        <f t="shared" si="4"/>
        <v>6700</v>
      </c>
      <c r="V29" s="41">
        <f>IF(_xlfn.XLOOKUP($A29,tbl_Catalog[sku_id],tbl_Catalog[master_carton_qty])&gt;0,U29/_xlfn.XLOOKUP($A29,tbl_Catalog[sku_id],tbl_Catalog[master_carton_qty]),0)</f>
        <v>67</v>
      </c>
      <c r="W29" s="38">
        <f>V29*_xlfn.XLOOKUP($A29,tbl_Catalog[sku_id],tbl_Catalog[carton_volume_cbm])</f>
        <v>4.0199999999999996</v>
      </c>
      <c r="X29" s="4" t="str">
        <f t="shared" si="5"/>
        <v>BASE LOAD</v>
      </c>
      <c r="Y29" s="4" t="str">
        <f>IF(U29=0,"N/A",IF(AND(MOD(U29,_xlfn.XLOOKUP($A29,tbl_Catalog[sku_id],tbl_Catalog[master_carton_qty]))=0,U29&gt;=_xlfn.XLOOKUP($A29,tbl_Catalog[sku_id],tbl_Catalog[sku_moq_units])),"MOQ OK","CHECK"))</f>
        <v>MOQ OK</v>
      </c>
      <c r="Z29" s="4" t="str">
        <f t="shared" si="6"/>
        <v>DOS OK</v>
      </c>
      <c r="AA29" s="41">
        <v>2500</v>
      </c>
      <c r="AB29" s="41">
        <v>0</v>
      </c>
      <c r="AC29" s="4" t="b">
        <v>0</v>
      </c>
    </row>
    <row r="30" spans="1:29" x14ac:dyDescent="0.3">
      <c r="A30" s="36" t="s">
        <v>259</v>
      </c>
      <c r="B30" s="16" t="s">
        <v>165</v>
      </c>
      <c r="C30" s="4" t="s">
        <v>221</v>
      </c>
      <c r="D30" s="41">
        <v>637</v>
      </c>
      <c r="E30" s="41">
        <v>0</v>
      </c>
      <c r="F30" s="42">
        <f>'03_FBA_Nivel1_Transfer'!E30+D30-E30</f>
        <v>1437</v>
      </c>
      <c r="G30" s="39">
        <f>'02_Demand_Unconstraining'!R30</f>
        <v>26.19</v>
      </c>
      <c r="H30" s="30">
        <f>'02_Demand_Unconstraining'!S30</f>
        <v>6.3795999999999999</v>
      </c>
      <c r="I30" s="29">
        <f>_xlfn.XLOOKUP($A30,tbl_Catalog[sku_id],tbl_Catalog[z_score])</f>
        <v>2.0539999999999998</v>
      </c>
      <c r="J30" s="41">
        <f t="shared" si="0"/>
        <v>550</v>
      </c>
      <c r="K30" s="41">
        <f>'03_FBA_Nivel1_Transfer'!N30</f>
        <v>122</v>
      </c>
      <c r="L30" s="41">
        <f t="shared" si="1"/>
        <v>2637</v>
      </c>
      <c r="M30" s="44">
        <f t="shared" si="2"/>
        <v>3815</v>
      </c>
      <c r="N30" s="41">
        <f>_xlfn.CEILING.MATH(_xlfn.XLOOKUP($A30,tbl_Catalog[sku_id],tbl_Catalog[sku_moq_units])/_xlfn.XLOOKUP($A30,tbl_Catalog[sku_id],tbl_Catalog[master_carton_qty]),1)</f>
        <v>3</v>
      </c>
      <c r="O30" s="31">
        <f t="shared" si="3"/>
        <v>-45.81901489117984</v>
      </c>
      <c r="P30" s="48">
        <f>_xlfn.LET(_xlpm.ip_sys,$F30,_xlpm.rop_sys,$L30,_xlpm.s_max,$M30,_xlpm.m_qty,_xlfn.XLOOKUP($A30,tbl_Catalog[sku_id],tbl_Catalog[master_carton_qty]),_xlpm.moq,_xlfn.XLOOKUP($A30,tbl_Catalog[sku_id],tbl_Catalog[sku_moq_units]),IF(_xlpm.ip_sys&lt;=_xlpm.rop_sys,_xlfn.CEILING.MATH(MAX(_xlpm.s_max-_xlpm.ip_sys,_xlpm.moq),_xlpm.m_qty),0))</f>
        <v>2400</v>
      </c>
      <c r="Q30" s="30">
        <f>IF(P30&gt;0,(P30/_xlfn.XLOOKUP($A30,tbl_Catalog[sku_id],tbl_Catalog[master_carton_qty]))*_xlfn.XLOOKUP($A30,tbl_Catalog[sku_id],tbl_Catalog[carton_volume_cbm]),0)</f>
        <v>1.44</v>
      </c>
      <c r="R30" s="41">
        <v>0</v>
      </c>
      <c r="S30" s="41">
        <v>0</v>
      </c>
      <c r="T30" s="41">
        <f>S30*_xlfn.XLOOKUP($A30,tbl_Catalog[sku_id],tbl_Catalog[master_carton_qty])</f>
        <v>0</v>
      </c>
      <c r="U30" s="46">
        <f t="shared" si="4"/>
        <v>0</v>
      </c>
      <c r="V30" s="41">
        <f>IF(_xlfn.XLOOKUP($A30,tbl_Catalog[sku_id],tbl_Catalog[master_carton_qty])&gt;0,U30/_xlfn.XLOOKUP($A30,tbl_Catalog[sku_id],tbl_Catalog[master_carton_qty]),0)</f>
        <v>0</v>
      </c>
      <c r="W30" s="38">
        <f>V30*_xlfn.XLOOKUP($A30,tbl_Catalog[sku_id],tbl_Catalog[carton_volume_cbm])</f>
        <v>0</v>
      </c>
      <c r="X30" s="4" t="str">
        <f t="shared" si="5"/>
        <v>DEFERRED / NO PO</v>
      </c>
      <c r="Y30" s="4" t="str">
        <f>IF(U30=0,"N/A",IF(AND(MOD(U30,_xlfn.XLOOKUP($A30,tbl_Catalog[sku_id],tbl_Catalog[master_carton_qty]))=0,U30&gt;=_xlfn.XLOOKUP($A30,tbl_Catalog[sku_id],tbl_Catalog[sku_moq_units])),"MOQ OK","CHECK"))</f>
        <v>N/A</v>
      </c>
      <c r="Z30" s="4" t="str">
        <f t="shared" si="6"/>
        <v>N/A</v>
      </c>
      <c r="AA30" s="41">
        <v>700</v>
      </c>
      <c r="AB30" s="41">
        <v>20</v>
      </c>
      <c r="AC30" s="4" t="b">
        <v>0</v>
      </c>
    </row>
    <row r="31" spans="1:29" x14ac:dyDescent="0.3">
      <c r="A31" s="36" t="s">
        <v>262</v>
      </c>
      <c r="B31" s="16" t="s">
        <v>165</v>
      </c>
      <c r="C31" s="4" t="s">
        <v>221</v>
      </c>
      <c r="D31" s="41">
        <v>660</v>
      </c>
      <c r="E31" s="41">
        <v>0</v>
      </c>
      <c r="F31" s="42">
        <f>'03_FBA_Nivel1_Transfer'!E31+D31-E31</f>
        <v>1665</v>
      </c>
      <c r="G31" s="39">
        <f>'02_Demand_Unconstraining'!R31</f>
        <v>33.866700000000002</v>
      </c>
      <c r="H31" s="30">
        <f>'02_Demand_Unconstraining'!S31</f>
        <v>6.7058999999999997</v>
      </c>
      <c r="I31" s="29">
        <f>_xlfn.XLOOKUP($A31,tbl_Catalog[sku_id],tbl_Catalog[z_score])</f>
        <v>2.0539999999999998</v>
      </c>
      <c r="J31" s="41">
        <f t="shared" si="0"/>
        <v>706</v>
      </c>
      <c r="K31" s="41">
        <f>'03_FBA_Nivel1_Transfer'!N31</f>
        <v>809</v>
      </c>
      <c r="L31" s="41">
        <f t="shared" si="1"/>
        <v>4056</v>
      </c>
      <c r="M31" s="44">
        <f t="shared" si="2"/>
        <v>5580</v>
      </c>
      <c r="N31" s="41">
        <f>_xlfn.CEILING.MATH(_xlfn.XLOOKUP($A31,tbl_Catalog[sku_id],tbl_Catalog[sku_moq_units])/_xlfn.XLOOKUP($A31,tbl_Catalog[sku_id],tbl_Catalog[master_carton_qty]),1)</f>
        <v>3</v>
      </c>
      <c r="O31" s="31">
        <f t="shared" si="3"/>
        <v>-70.600324212279318</v>
      </c>
      <c r="P31" s="48">
        <f>_xlfn.LET(_xlpm.ip_sys,$F31,_xlpm.rop_sys,$L31,_xlpm.s_max,$M31,_xlpm.m_qty,_xlfn.XLOOKUP($A31,tbl_Catalog[sku_id],tbl_Catalog[master_carton_qty]),_xlpm.moq,_xlfn.XLOOKUP($A31,tbl_Catalog[sku_id],tbl_Catalog[sku_moq_units]),IF(_xlpm.ip_sys&lt;=_xlpm.rop_sys,_xlfn.CEILING.MATH(MAX(_xlpm.s_max-_xlpm.ip_sys,_xlpm.moq),_xlpm.m_qty),0))</f>
        <v>4000</v>
      </c>
      <c r="Q31" s="30">
        <f>IF(P31&gt;0,(P31/_xlfn.XLOOKUP($A31,tbl_Catalog[sku_id],tbl_Catalog[master_carton_qty]))*_xlfn.XLOOKUP($A31,tbl_Catalog[sku_id],tbl_Catalog[carton_volume_cbm]),0)</f>
        <v>2.4</v>
      </c>
      <c r="R31" s="41">
        <v>0</v>
      </c>
      <c r="S31" s="41">
        <v>0</v>
      </c>
      <c r="T31" s="41">
        <f>S31*_xlfn.XLOOKUP($A31,tbl_Catalog[sku_id],tbl_Catalog[master_carton_qty])</f>
        <v>0</v>
      </c>
      <c r="U31" s="46">
        <f t="shared" si="4"/>
        <v>0</v>
      </c>
      <c r="V31" s="41">
        <f>IF(_xlfn.XLOOKUP($A31,tbl_Catalog[sku_id],tbl_Catalog[master_carton_qty])&gt;0,U31/_xlfn.XLOOKUP($A31,tbl_Catalog[sku_id],tbl_Catalog[master_carton_qty]),0)</f>
        <v>0</v>
      </c>
      <c r="W31" s="38">
        <f>V31*_xlfn.XLOOKUP($A31,tbl_Catalog[sku_id],tbl_Catalog[carton_volume_cbm])</f>
        <v>0</v>
      </c>
      <c r="X31" s="4" t="str">
        <f t="shared" si="5"/>
        <v>DEFERRED / NO PO</v>
      </c>
      <c r="Y31" s="4" t="str">
        <f>IF(U31=0,"N/A",IF(AND(MOD(U31,_xlfn.XLOOKUP($A31,tbl_Catalog[sku_id],tbl_Catalog[master_carton_qty]))=0,U31&gt;=_xlfn.XLOOKUP($A31,tbl_Catalog[sku_id],tbl_Catalog[sku_moq_units])),"MOQ OK","CHECK"))</f>
        <v>N/A</v>
      </c>
      <c r="Z31" s="4" t="str">
        <f t="shared" si="6"/>
        <v>N/A</v>
      </c>
      <c r="AA31" s="41">
        <v>0</v>
      </c>
      <c r="AB31" s="41">
        <v>29</v>
      </c>
      <c r="AC31" s="4" t="b">
        <v>0</v>
      </c>
    </row>
    <row r="32" spans="1:29" x14ac:dyDescent="0.3">
      <c r="A32" s="36" t="s">
        <v>265</v>
      </c>
      <c r="B32" s="16" t="s">
        <v>165</v>
      </c>
      <c r="C32" s="4" t="s">
        <v>172</v>
      </c>
      <c r="D32" s="41">
        <v>0</v>
      </c>
      <c r="E32" s="41">
        <v>0</v>
      </c>
      <c r="F32" s="42">
        <f>'03_FBA_Nivel1_Transfer'!E32+D32-E32</f>
        <v>474</v>
      </c>
      <c r="G32" s="39">
        <f>'02_Demand_Unconstraining'!R32</f>
        <v>18.456700000000001</v>
      </c>
      <c r="H32" s="30">
        <f>'02_Demand_Unconstraining'!S32</f>
        <v>5.7706</v>
      </c>
      <c r="I32" s="29">
        <f>_xlfn.XLOOKUP($A32,tbl_Catalog[sku_id],tbl_Catalog[z_score])</f>
        <v>1.881</v>
      </c>
      <c r="J32" s="41">
        <f t="shared" si="0"/>
        <v>360</v>
      </c>
      <c r="K32" s="41">
        <f>'03_FBA_Nivel1_Transfer'!N32</f>
        <v>366</v>
      </c>
      <c r="L32" s="41">
        <f t="shared" si="1"/>
        <v>2111</v>
      </c>
      <c r="M32" s="44">
        <f t="shared" si="2"/>
        <v>2941</v>
      </c>
      <c r="N32" s="41">
        <f>_xlfn.CEILING.MATH(_xlfn.XLOOKUP($A32,tbl_Catalog[sku_id],tbl_Catalog[sku_moq_units])/_xlfn.XLOOKUP($A32,tbl_Catalog[sku_id],tbl_Catalog[master_carton_qty]),1)</f>
        <v>3</v>
      </c>
      <c r="O32" s="31">
        <f t="shared" si="3"/>
        <v>-88.694078573092696</v>
      </c>
      <c r="P32" s="48">
        <f>_xlfn.LET(_xlpm.ip_sys,$F32,_xlpm.rop_sys,$L32,_xlpm.s_max,$M32,_xlpm.m_qty,_xlfn.XLOOKUP($A32,tbl_Catalog[sku_id],tbl_Catalog[master_carton_qty]),_xlpm.moq,_xlfn.XLOOKUP($A32,tbl_Catalog[sku_id],tbl_Catalog[sku_moq_units]),IF(_xlpm.ip_sys&lt;=_xlpm.rop_sys,_xlfn.CEILING.MATH(MAX(_xlpm.s_max-_xlpm.ip_sys,_xlpm.moq),_xlpm.m_qty),0))</f>
        <v>2500</v>
      </c>
      <c r="Q32" s="30">
        <f>IF(P32&gt;0,(P32/_xlfn.XLOOKUP($A32,tbl_Catalog[sku_id],tbl_Catalog[master_carton_qty]))*_xlfn.XLOOKUP($A32,tbl_Catalog[sku_id],tbl_Catalog[carton_volume_cbm]),0)</f>
        <v>1.5</v>
      </c>
      <c r="R32" s="41">
        <v>0</v>
      </c>
      <c r="S32" s="41">
        <v>0</v>
      </c>
      <c r="T32" s="41">
        <f>S32*_xlfn.XLOOKUP($A32,tbl_Catalog[sku_id],tbl_Catalog[master_carton_qty])</f>
        <v>0</v>
      </c>
      <c r="U32" s="46">
        <f t="shared" si="4"/>
        <v>0</v>
      </c>
      <c r="V32" s="41">
        <f>IF(_xlfn.XLOOKUP($A32,tbl_Catalog[sku_id],tbl_Catalog[master_carton_qty])&gt;0,U32/_xlfn.XLOOKUP($A32,tbl_Catalog[sku_id],tbl_Catalog[master_carton_qty]),0)</f>
        <v>0</v>
      </c>
      <c r="W32" s="38">
        <f>V32*_xlfn.XLOOKUP($A32,tbl_Catalog[sku_id],tbl_Catalog[carton_volume_cbm])</f>
        <v>0</v>
      </c>
      <c r="X32" s="4" t="str">
        <f t="shared" si="5"/>
        <v>DEFERRED / NO PO</v>
      </c>
      <c r="Y32" s="4" t="str">
        <f>IF(U32=0,"N/A",IF(AND(MOD(U32,_xlfn.XLOOKUP($A32,tbl_Catalog[sku_id],tbl_Catalog[master_carton_qty]))=0,U32&gt;=_xlfn.XLOOKUP($A32,tbl_Catalog[sku_id],tbl_Catalog[sku_moq_units])),"MOQ OK","CHECK"))</f>
        <v>N/A</v>
      </c>
      <c r="Z32" s="4" t="str">
        <f t="shared" si="6"/>
        <v>N/A</v>
      </c>
      <c r="AA32" s="41">
        <v>600</v>
      </c>
      <c r="AB32" s="41">
        <v>20</v>
      </c>
      <c r="AC32" s="4" t="b">
        <v>0</v>
      </c>
    </row>
    <row r="33" spans="1:29" x14ac:dyDescent="0.3">
      <c r="A33" s="36" t="s">
        <v>268</v>
      </c>
      <c r="B33" s="16" t="s">
        <v>165</v>
      </c>
      <c r="C33" s="4" t="s">
        <v>172</v>
      </c>
      <c r="D33" s="41">
        <v>0</v>
      </c>
      <c r="E33" s="41">
        <v>0</v>
      </c>
      <c r="F33" s="42">
        <f>'03_FBA_Nivel1_Transfer'!E33+D33-E33</f>
        <v>783</v>
      </c>
      <c r="G33" s="39">
        <f>'02_Demand_Unconstraining'!R33</f>
        <v>20.598199999999999</v>
      </c>
      <c r="H33" s="30">
        <f>'02_Demand_Unconstraining'!S33</f>
        <v>6.3493000000000004</v>
      </c>
      <c r="I33" s="29">
        <f>_xlfn.XLOOKUP($A33,tbl_Catalog[sku_id],tbl_Catalog[z_score])</f>
        <v>1.881</v>
      </c>
      <c r="J33" s="41">
        <f t="shared" si="0"/>
        <v>402</v>
      </c>
      <c r="K33" s="41">
        <f>'03_FBA_Nivel1_Transfer'!N33</f>
        <v>454</v>
      </c>
      <c r="L33" s="41">
        <f t="shared" si="1"/>
        <v>2401</v>
      </c>
      <c r="M33" s="44">
        <f t="shared" si="2"/>
        <v>3328</v>
      </c>
      <c r="N33" s="41">
        <f>_xlfn.CEILING.MATH(_xlfn.XLOOKUP($A33,tbl_Catalog[sku_id],tbl_Catalog[sku_moq_units])/_xlfn.XLOOKUP($A33,tbl_Catalog[sku_id],tbl_Catalog[master_carton_qty]),1)</f>
        <v>3</v>
      </c>
      <c r="O33" s="31">
        <f t="shared" si="3"/>
        <v>-78.550552960938333</v>
      </c>
      <c r="P33" s="48">
        <f>_xlfn.LET(_xlpm.ip_sys,$F33,_xlpm.rop_sys,$L33,_xlpm.s_max,$M33,_xlpm.m_qty,_xlfn.XLOOKUP($A33,tbl_Catalog[sku_id],tbl_Catalog[master_carton_qty]),_xlpm.moq,_xlfn.XLOOKUP($A33,tbl_Catalog[sku_id],tbl_Catalog[sku_moq_units]),IF(_xlpm.ip_sys&lt;=_xlpm.rop_sys,_xlfn.CEILING.MATH(MAX(_xlpm.s_max-_xlpm.ip_sys,_xlpm.moq),_xlpm.m_qty),0))</f>
        <v>2600</v>
      </c>
      <c r="Q33" s="30">
        <f>IF(P33&gt;0,(P33/_xlfn.XLOOKUP($A33,tbl_Catalog[sku_id],tbl_Catalog[master_carton_qty]))*_xlfn.XLOOKUP($A33,tbl_Catalog[sku_id],tbl_Catalog[carton_volume_cbm]),0)</f>
        <v>1.56</v>
      </c>
      <c r="R33" s="41">
        <v>0</v>
      </c>
      <c r="S33" s="41">
        <v>0</v>
      </c>
      <c r="T33" s="41">
        <f>S33*_xlfn.XLOOKUP($A33,tbl_Catalog[sku_id],tbl_Catalog[master_carton_qty])</f>
        <v>0</v>
      </c>
      <c r="U33" s="46">
        <f t="shared" si="4"/>
        <v>0</v>
      </c>
      <c r="V33" s="41">
        <f>IF(_xlfn.XLOOKUP($A33,tbl_Catalog[sku_id],tbl_Catalog[master_carton_qty])&gt;0,U33/_xlfn.XLOOKUP($A33,tbl_Catalog[sku_id],tbl_Catalog[master_carton_qty]),0)</f>
        <v>0</v>
      </c>
      <c r="W33" s="38">
        <f>V33*_xlfn.XLOOKUP($A33,tbl_Catalog[sku_id],tbl_Catalog[carton_volume_cbm])</f>
        <v>0</v>
      </c>
      <c r="X33" s="4" t="str">
        <f t="shared" si="5"/>
        <v>DEFERRED / NO PO</v>
      </c>
      <c r="Y33" s="4" t="str">
        <f>IF(U33=0,"N/A",IF(AND(MOD(U33,_xlfn.XLOOKUP($A33,tbl_Catalog[sku_id],tbl_Catalog[master_carton_qty]))=0,U33&gt;=_xlfn.XLOOKUP($A33,tbl_Catalog[sku_id],tbl_Catalog[sku_moq_units])),"MOQ OK","CHECK"))</f>
        <v>N/A</v>
      </c>
      <c r="Z33" s="4" t="str">
        <f t="shared" si="6"/>
        <v>N/A</v>
      </c>
      <c r="AA33" s="41">
        <v>900</v>
      </c>
      <c r="AB33" s="41">
        <v>19</v>
      </c>
      <c r="AC33" s="4" t="b">
        <v>0</v>
      </c>
    </row>
    <row r="34" spans="1:29" x14ac:dyDescent="0.3">
      <c r="A34" s="36" t="s">
        <v>271</v>
      </c>
      <c r="B34" s="16" t="s">
        <v>165</v>
      </c>
      <c r="C34" s="4" t="s">
        <v>179</v>
      </c>
      <c r="D34" s="41">
        <v>37</v>
      </c>
      <c r="E34" s="41">
        <v>0</v>
      </c>
      <c r="F34" s="42">
        <f>'03_FBA_Nivel1_Transfer'!E34+D34-E34</f>
        <v>149</v>
      </c>
      <c r="G34" s="39">
        <f>'02_Demand_Unconstraining'!R34</f>
        <v>2.2000000000000002</v>
      </c>
      <c r="H34" s="30">
        <f>'02_Demand_Unconstraining'!S34</f>
        <v>1.115</v>
      </c>
      <c r="I34" s="29">
        <f>_xlfn.XLOOKUP($A34,tbl_Catalog[sku_id],tbl_Catalog[z_score])</f>
        <v>1.645</v>
      </c>
      <c r="J34" s="41">
        <f t="shared" si="0"/>
        <v>40</v>
      </c>
      <c r="K34" s="41">
        <f>'03_FBA_Nivel1_Transfer'!N34</f>
        <v>10</v>
      </c>
      <c r="L34" s="41">
        <f t="shared" si="1"/>
        <v>215</v>
      </c>
      <c r="M34" s="44">
        <f t="shared" si="2"/>
        <v>314</v>
      </c>
      <c r="N34" s="41">
        <f>_xlfn.CEILING.MATH(_xlfn.XLOOKUP($A34,tbl_Catalog[sku_id],tbl_Catalog[sku_moq_units])/_xlfn.XLOOKUP($A34,tbl_Catalog[sku_id],tbl_Catalog[master_carton_qty]),1)</f>
        <v>3</v>
      </c>
      <c r="O34" s="31">
        <f t="shared" si="3"/>
        <v>-29.999999999999996</v>
      </c>
      <c r="P34" s="48">
        <f>_xlfn.LET(_xlpm.ip_sys,$F34,_xlpm.rop_sys,$L34,_xlpm.s_max,$M34,_xlpm.m_qty,_xlfn.XLOOKUP($A34,tbl_Catalog[sku_id],tbl_Catalog[master_carton_qty]),_xlpm.moq,_xlfn.XLOOKUP($A34,tbl_Catalog[sku_id],tbl_Catalog[sku_moq_units]),IF(_xlpm.ip_sys&lt;=_xlpm.rop_sys,_xlfn.CEILING.MATH(MAX(_xlpm.s_max-_xlpm.ip_sys,_xlpm.moq),_xlpm.m_qty),0))</f>
        <v>300</v>
      </c>
      <c r="Q34" s="30">
        <f>IF(P34&gt;0,(P34/_xlfn.XLOOKUP($A34,tbl_Catalog[sku_id],tbl_Catalog[master_carton_qty]))*_xlfn.XLOOKUP($A34,tbl_Catalog[sku_id],tbl_Catalog[carton_volume_cbm]),0)</f>
        <v>0.18</v>
      </c>
      <c r="R34" s="41">
        <v>0</v>
      </c>
      <c r="S34" s="41">
        <v>0</v>
      </c>
      <c r="T34" s="41">
        <f>S34*_xlfn.XLOOKUP($A34,tbl_Catalog[sku_id],tbl_Catalog[master_carton_qty])</f>
        <v>0</v>
      </c>
      <c r="U34" s="46">
        <f t="shared" si="4"/>
        <v>0</v>
      </c>
      <c r="V34" s="41">
        <f>IF(_xlfn.XLOOKUP($A34,tbl_Catalog[sku_id],tbl_Catalog[master_carton_qty])&gt;0,U34/_xlfn.XLOOKUP($A34,tbl_Catalog[sku_id],tbl_Catalog[master_carton_qty]),0)</f>
        <v>0</v>
      </c>
      <c r="W34" s="38">
        <f>V34*_xlfn.XLOOKUP($A34,tbl_Catalog[sku_id],tbl_Catalog[carton_volume_cbm])</f>
        <v>0</v>
      </c>
      <c r="X34" s="4" t="str">
        <f t="shared" si="5"/>
        <v>DEFERRED / NO PO</v>
      </c>
      <c r="Y34" s="4" t="str">
        <f>IF(U34=0,"N/A",IF(AND(MOD(U34,_xlfn.XLOOKUP($A34,tbl_Catalog[sku_id],tbl_Catalog[master_carton_qty]))=0,U34&gt;=_xlfn.XLOOKUP($A34,tbl_Catalog[sku_id],tbl_Catalog[sku_moq_units])),"MOQ OK","CHECK"))</f>
        <v>N/A</v>
      </c>
      <c r="Z34" s="4" t="str">
        <f t="shared" si="6"/>
        <v>N/A</v>
      </c>
      <c r="AA34" s="41">
        <v>300</v>
      </c>
      <c r="AB34" s="41">
        <v>3</v>
      </c>
      <c r="AC34" s="4" t="b">
        <v>0</v>
      </c>
    </row>
    <row r="35" spans="1:29" x14ac:dyDescent="0.3">
      <c r="A35" s="36" t="s">
        <v>274</v>
      </c>
      <c r="B35" s="16" t="s">
        <v>165</v>
      </c>
      <c r="C35" s="4" t="s">
        <v>172</v>
      </c>
      <c r="D35" s="41">
        <v>0</v>
      </c>
      <c r="E35" s="41">
        <v>0</v>
      </c>
      <c r="F35" s="42">
        <f>'03_FBA_Nivel1_Transfer'!E35+D35-E35</f>
        <v>356</v>
      </c>
      <c r="G35" s="39">
        <f>'02_Demand_Unconstraining'!R35</f>
        <v>19.180299999999999</v>
      </c>
      <c r="H35" s="30">
        <f>'02_Demand_Unconstraining'!S35</f>
        <v>6.3250999999999999</v>
      </c>
      <c r="I35" s="29">
        <f>_xlfn.XLOOKUP($A35,tbl_Catalog[sku_id],tbl_Catalog[z_score])</f>
        <v>1.881</v>
      </c>
      <c r="J35" s="41">
        <f t="shared" si="0"/>
        <v>376</v>
      </c>
      <c r="K35" s="41">
        <f>'03_FBA_Nivel1_Transfer'!N35</f>
        <v>391</v>
      </c>
      <c r="L35" s="41">
        <f t="shared" si="1"/>
        <v>2206</v>
      </c>
      <c r="M35" s="44">
        <f t="shared" si="2"/>
        <v>3069</v>
      </c>
      <c r="N35" s="41">
        <f>_xlfn.CEILING.MATH(_xlfn.XLOOKUP($A35,tbl_Catalog[sku_id],tbl_Catalog[sku_moq_units])/_xlfn.XLOOKUP($A35,tbl_Catalog[sku_id],tbl_Catalog[master_carton_qty]),1)</f>
        <v>3</v>
      </c>
      <c r="O35" s="31">
        <f t="shared" si="3"/>
        <v>-96.453131598567282</v>
      </c>
      <c r="P35" s="48">
        <f>_xlfn.LET(_xlpm.ip_sys,$F35,_xlpm.rop_sys,$L35,_xlpm.s_max,$M35,_xlpm.m_qty,_xlfn.XLOOKUP($A35,tbl_Catalog[sku_id],tbl_Catalog[master_carton_qty]),_xlpm.moq,_xlfn.XLOOKUP($A35,tbl_Catalog[sku_id],tbl_Catalog[sku_moq_units]),IF(_xlpm.ip_sys&lt;=_xlpm.rop_sys,_xlfn.CEILING.MATH(MAX(_xlpm.s_max-_xlpm.ip_sys,_xlpm.moq),_xlpm.m_qty),0))</f>
        <v>2800</v>
      </c>
      <c r="Q35" s="30">
        <f>IF(P35&gt;0,(P35/_xlfn.XLOOKUP($A35,tbl_Catalog[sku_id],tbl_Catalog[master_carton_qty]))*_xlfn.XLOOKUP($A35,tbl_Catalog[sku_id],tbl_Catalog[carton_volume_cbm]),0)</f>
        <v>1.68</v>
      </c>
      <c r="R35" s="41">
        <v>0</v>
      </c>
      <c r="S35" s="41">
        <v>0</v>
      </c>
      <c r="T35" s="41">
        <f>S35*_xlfn.XLOOKUP($A35,tbl_Catalog[sku_id],tbl_Catalog[master_carton_qty])</f>
        <v>0</v>
      </c>
      <c r="U35" s="46">
        <f t="shared" si="4"/>
        <v>0</v>
      </c>
      <c r="V35" s="41">
        <f>IF(_xlfn.XLOOKUP($A35,tbl_Catalog[sku_id],tbl_Catalog[master_carton_qty])&gt;0,U35/_xlfn.XLOOKUP($A35,tbl_Catalog[sku_id],tbl_Catalog[master_carton_qty]),0)</f>
        <v>0</v>
      </c>
      <c r="W35" s="38">
        <f>V35*_xlfn.XLOOKUP($A35,tbl_Catalog[sku_id],tbl_Catalog[carton_volume_cbm])</f>
        <v>0</v>
      </c>
      <c r="X35" s="4" t="str">
        <f t="shared" si="5"/>
        <v>DEFERRED / NO PO</v>
      </c>
      <c r="Y35" s="4" t="str">
        <f>IF(U35=0,"N/A",IF(AND(MOD(U35,_xlfn.XLOOKUP($A35,tbl_Catalog[sku_id],tbl_Catalog[master_carton_qty]))=0,U35&gt;=_xlfn.XLOOKUP($A35,tbl_Catalog[sku_id],tbl_Catalog[sku_moq_units])),"MOQ OK","CHECK"))</f>
        <v>N/A</v>
      </c>
      <c r="Z35" s="4" t="str">
        <f t="shared" si="6"/>
        <v>N/A</v>
      </c>
      <c r="AA35" s="41">
        <v>1000</v>
      </c>
      <c r="AB35" s="41">
        <v>22</v>
      </c>
      <c r="AC35" s="4" t="b">
        <v>0</v>
      </c>
    </row>
    <row r="36" spans="1:29" x14ac:dyDescent="0.3">
      <c r="A36" s="36" t="s">
        <v>277</v>
      </c>
      <c r="B36" s="16" t="s">
        <v>165</v>
      </c>
      <c r="C36" s="4" t="s">
        <v>188</v>
      </c>
      <c r="D36" s="41">
        <v>302</v>
      </c>
      <c r="E36" s="41">
        <v>0</v>
      </c>
      <c r="F36" s="42">
        <f>'03_FBA_Nivel1_Transfer'!E36+D36-E36</f>
        <v>302</v>
      </c>
      <c r="G36" s="39">
        <f>'02_Demand_Unconstraining'!R36</f>
        <v>1.0404</v>
      </c>
      <c r="H36" s="30">
        <f>'02_Demand_Unconstraining'!S36</f>
        <v>0.629</v>
      </c>
      <c r="I36" s="29">
        <f>_xlfn.XLOOKUP($A36,tbl_Catalog[sku_id],tbl_Catalog[z_score])</f>
        <v>1.282</v>
      </c>
      <c r="J36" s="41">
        <f t="shared" si="0"/>
        <v>16</v>
      </c>
      <c r="K36" s="41">
        <f>'03_FBA_Nivel1_Transfer'!N36</f>
        <v>4</v>
      </c>
      <c r="L36" s="41">
        <f t="shared" si="1"/>
        <v>99</v>
      </c>
      <c r="M36" s="44">
        <f t="shared" si="2"/>
        <v>145</v>
      </c>
      <c r="N36" s="41">
        <f>_xlfn.CEILING.MATH(_xlfn.XLOOKUP($A36,tbl_Catalog[sku_id],tbl_Catalog[sku_moq_units])/_xlfn.XLOOKUP($A36,tbl_Catalog[sku_id],tbl_Catalog[master_carton_qty]),1)</f>
        <v>3</v>
      </c>
      <c r="O36" s="31">
        <f t="shared" si="3"/>
        <v>195.11726259131103</v>
      </c>
      <c r="P36" s="48">
        <f>_xlfn.LET(_xlpm.ip_sys,$F36,_xlpm.rop_sys,$L36,_xlpm.s_max,$M36,_xlpm.m_qty,_xlfn.XLOOKUP($A36,tbl_Catalog[sku_id],tbl_Catalog[master_carton_qty]),_xlpm.moq,_xlfn.XLOOKUP($A36,tbl_Catalog[sku_id],tbl_Catalog[sku_moq_units]),IF(_xlpm.ip_sys&lt;=_xlpm.rop_sys,_xlfn.CEILING.MATH(MAX(_xlpm.s_max-_xlpm.ip_sys,_xlpm.moq),_xlpm.m_qty),0))</f>
        <v>0</v>
      </c>
      <c r="Q36" s="30">
        <f>IF(P36&gt;0,(P36/_xlfn.XLOOKUP($A36,tbl_Catalog[sku_id],tbl_Catalog[master_carton_qty]))*_xlfn.XLOOKUP($A36,tbl_Catalog[sku_id],tbl_Catalog[carton_volume_cbm]),0)</f>
        <v>0</v>
      </c>
      <c r="R36" s="41">
        <v>0</v>
      </c>
      <c r="S36" s="41">
        <v>0</v>
      </c>
      <c r="T36" s="41">
        <f>S36*_xlfn.XLOOKUP($A36,tbl_Catalog[sku_id],tbl_Catalog[master_carton_qty])</f>
        <v>0</v>
      </c>
      <c r="U36" s="46">
        <f t="shared" si="4"/>
        <v>0</v>
      </c>
      <c r="V36" s="41">
        <f>IF(_xlfn.XLOOKUP($A36,tbl_Catalog[sku_id],tbl_Catalog[master_carton_qty])&gt;0,U36/_xlfn.XLOOKUP($A36,tbl_Catalog[sku_id],tbl_Catalog[master_carton_qty]),0)</f>
        <v>0</v>
      </c>
      <c r="W36" s="38">
        <f>V36*_xlfn.XLOOKUP($A36,tbl_Catalog[sku_id],tbl_Catalog[carton_volume_cbm])</f>
        <v>0</v>
      </c>
      <c r="X36" s="4" t="str">
        <f t="shared" si="5"/>
        <v>DEFERRED / NO PO</v>
      </c>
      <c r="Y36" s="4" t="str">
        <f>IF(U36=0,"N/A",IF(AND(MOD(U36,_xlfn.XLOOKUP($A36,tbl_Catalog[sku_id],tbl_Catalog[master_carton_qty]))=0,U36&gt;=_xlfn.XLOOKUP($A36,tbl_Catalog[sku_id],tbl_Catalog[sku_moq_units])),"MOQ OK","CHECK"))</f>
        <v>N/A</v>
      </c>
      <c r="Z36" s="4" t="str">
        <f t="shared" si="6"/>
        <v>N/A</v>
      </c>
      <c r="AA36" s="41">
        <v>0</v>
      </c>
      <c r="AB36" s="41">
        <v>0</v>
      </c>
      <c r="AC36" s="4" t="b">
        <v>0</v>
      </c>
    </row>
    <row r="37" spans="1:29" x14ac:dyDescent="0.3">
      <c r="A37" s="36" t="s">
        <v>280</v>
      </c>
      <c r="B37" s="16" t="s">
        <v>165</v>
      </c>
      <c r="C37" s="4" t="s">
        <v>184</v>
      </c>
      <c r="D37" s="41">
        <v>202</v>
      </c>
      <c r="E37" s="41">
        <v>0</v>
      </c>
      <c r="F37" s="42">
        <f>'03_FBA_Nivel1_Transfer'!E37+D37-E37</f>
        <v>275</v>
      </c>
      <c r="G37" s="39">
        <f>'02_Demand_Unconstraining'!R37</f>
        <v>3.0733000000000001</v>
      </c>
      <c r="H37" s="30">
        <f>'02_Demand_Unconstraining'!S37</f>
        <v>1.1032</v>
      </c>
      <c r="I37" s="29">
        <f>_xlfn.XLOOKUP($A37,tbl_Catalog[sku_id],tbl_Catalog[z_score])</f>
        <v>1.645</v>
      </c>
      <c r="J37" s="41">
        <f t="shared" ref="J37:J68" si="7">ROUNDUP(I37*SQRT(L2_Mean*(H37^2)+(G37^2)*(L2_Std^2)),0)</f>
        <v>53</v>
      </c>
      <c r="K37" s="41">
        <f>'03_FBA_Nivel1_Transfer'!N37</f>
        <v>11</v>
      </c>
      <c r="L37" s="41">
        <f t="shared" ref="L37:L68" si="8">_xlfn.CEILING.MATH(G37*L2_Mean+J37+K37,1)</f>
        <v>295</v>
      </c>
      <c r="M37" s="44">
        <f t="shared" ref="M37:M68" si="9">_xlfn.CEILING.MATH(G37*(L2_Mean+45)+J37+K37,1)</f>
        <v>433</v>
      </c>
      <c r="N37" s="41">
        <f>_xlfn.CEILING.MATH(_xlfn.XLOOKUP($A37,tbl_Catalog[sku_id],tbl_Catalog[sku_moq_units])/_xlfn.XLOOKUP($A37,tbl_Catalog[sku_id],tbl_Catalog[master_carton_qty]),1)</f>
        <v>3</v>
      </c>
      <c r="O37" s="31">
        <f t="shared" ref="O37:O68" si="10">IF(G37&gt;0,(F37-L37)/G37,999)</f>
        <v>-6.5076627729151069</v>
      </c>
      <c r="P37" s="48">
        <f>_xlfn.LET(_xlpm.ip_sys,$F37,_xlpm.rop_sys,$L37,_xlpm.s_max,$M37,_xlpm.m_qty,_xlfn.XLOOKUP($A37,tbl_Catalog[sku_id],tbl_Catalog[master_carton_qty]),_xlpm.moq,_xlfn.XLOOKUP($A37,tbl_Catalog[sku_id],tbl_Catalog[sku_moq_units]),IF(_xlpm.ip_sys&lt;=_xlpm.rop_sys,_xlfn.CEILING.MATH(MAX(_xlpm.s_max-_xlpm.ip_sys,_xlpm.moq),_xlpm.m_qty),0))</f>
        <v>300</v>
      </c>
      <c r="Q37" s="30">
        <f>IF(P37&gt;0,(P37/_xlfn.XLOOKUP($A37,tbl_Catalog[sku_id],tbl_Catalog[master_carton_qty]))*_xlfn.XLOOKUP($A37,tbl_Catalog[sku_id],tbl_Catalog[carton_volume_cbm]),0)</f>
        <v>0.18</v>
      </c>
      <c r="R37" s="41">
        <v>0</v>
      </c>
      <c r="S37" s="41">
        <v>0</v>
      </c>
      <c r="T37" s="41">
        <f>S37*_xlfn.XLOOKUP($A37,tbl_Catalog[sku_id],tbl_Catalog[master_carton_qty])</f>
        <v>0</v>
      </c>
      <c r="U37" s="46">
        <f t="shared" ref="U37:U68" si="11">R37+T37</f>
        <v>0</v>
      </c>
      <c r="V37" s="41">
        <f>IF(_xlfn.XLOOKUP($A37,tbl_Catalog[sku_id],tbl_Catalog[master_carton_qty])&gt;0,U37/_xlfn.XLOOKUP($A37,tbl_Catalog[sku_id],tbl_Catalog[master_carton_qty]),0)</f>
        <v>0</v>
      </c>
      <c r="W37" s="38">
        <f>V37*_xlfn.XLOOKUP($A37,tbl_Catalog[sku_id],tbl_Catalog[carton_volume_cbm])</f>
        <v>0</v>
      </c>
      <c r="X37" s="4" t="str">
        <f t="shared" ref="X37:X68" si="12">IF(U37=0,"DEFERRED / NO PO",IF(S37&gt;0,"BASE + TIER-A TOP-UP","BASE LOAD"))</f>
        <v>DEFERRED / NO PO</v>
      </c>
      <c r="Y37" s="4" t="str">
        <f>IF(U37=0,"N/A",IF(AND(MOD(U37,_xlfn.XLOOKUP($A37,tbl_Catalog[sku_id],tbl_Catalog[master_carton_qty]))=0,U37&gt;=_xlfn.XLOOKUP($A37,tbl_Catalog[sku_id],tbl_Catalog[sku_moq_units])),"MOQ OK","CHECK"))</f>
        <v>N/A</v>
      </c>
      <c r="Z37" s="4" t="str">
        <f t="shared" ref="Z37:Z68" si="13">IF(U37=0,"N/A",IF((F37+U37)/MAX(0.1,G37)&lt;=DOS_Cap,"DOS OK","MOQ OVERRIDE"))</f>
        <v>N/A</v>
      </c>
      <c r="AA37" s="41">
        <v>0</v>
      </c>
      <c r="AB37" s="41">
        <v>3</v>
      </c>
      <c r="AC37" s="4" t="b">
        <v>0</v>
      </c>
    </row>
    <row r="38" spans="1:29" x14ac:dyDescent="0.3">
      <c r="A38" s="36" t="s">
        <v>283</v>
      </c>
      <c r="B38" s="16" t="s">
        <v>165</v>
      </c>
      <c r="C38" s="4" t="s">
        <v>188</v>
      </c>
      <c r="D38" s="41">
        <v>320</v>
      </c>
      <c r="E38" s="41">
        <v>0</v>
      </c>
      <c r="F38" s="42">
        <f>'03_FBA_Nivel1_Transfer'!E38+D38-E38</f>
        <v>320</v>
      </c>
      <c r="G38" s="39">
        <f>'02_Demand_Unconstraining'!R38</f>
        <v>0.86909999999999998</v>
      </c>
      <c r="H38" s="30">
        <f>'02_Demand_Unconstraining'!S38</f>
        <v>0.50900000000000001</v>
      </c>
      <c r="I38" s="29">
        <f>_xlfn.XLOOKUP($A38,tbl_Catalog[sku_id],tbl_Catalog[z_score])</f>
        <v>1.282</v>
      </c>
      <c r="J38" s="41">
        <f t="shared" si="7"/>
        <v>13</v>
      </c>
      <c r="K38" s="41">
        <f>'03_FBA_Nivel1_Transfer'!N38</f>
        <v>4</v>
      </c>
      <c r="L38" s="41">
        <f t="shared" si="8"/>
        <v>83</v>
      </c>
      <c r="M38" s="44">
        <f t="shared" si="9"/>
        <v>122</v>
      </c>
      <c r="N38" s="41">
        <f>_xlfn.CEILING.MATH(_xlfn.XLOOKUP($A38,tbl_Catalog[sku_id],tbl_Catalog[sku_moq_units])/_xlfn.XLOOKUP($A38,tbl_Catalog[sku_id],tbl_Catalog[master_carton_qty]),1)</f>
        <v>3</v>
      </c>
      <c r="O38" s="31">
        <f t="shared" si="10"/>
        <v>272.69589230238176</v>
      </c>
      <c r="P38" s="48">
        <f>_xlfn.LET(_xlpm.ip_sys,$F38,_xlpm.rop_sys,$L38,_xlpm.s_max,$M38,_xlpm.m_qty,_xlfn.XLOOKUP($A38,tbl_Catalog[sku_id],tbl_Catalog[master_carton_qty]),_xlpm.moq,_xlfn.XLOOKUP($A38,tbl_Catalog[sku_id],tbl_Catalog[sku_moq_units]),IF(_xlpm.ip_sys&lt;=_xlpm.rop_sys,_xlfn.CEILING.MATH(MAX(_xlpm.s_max-_xlpm.ip_sys,_xlpm.moq),_xlpm.m_qty),0))</f>
        <v>0</v>
      </c>
      <c r="Q38" s="30">
        <f>IF(P38&gt;0,(P38/_xlfn.XLOOKUP($A38,tbl_Catalog[sku_id],tbl_Catalog[master_carton_qty]))*_xlfn.XLOOKUP($A38,tbl_Catalog[sku_id],tbl_Catalog[carton_volume_cbm]),0)</f>
        <v>0</v>
      </c>
      <c r="R38" s="41">
        <v>0</v>
      </c>
      <c r="S38" s="41">
        <v>0</v>
      </c>
      <c r="T38" s="41">
        <f>S38*_xlfn.XLOOKUP($A38,tbl_Catalog[sku_id],tbl_Catalog[master_carton_qty])</f>
        <v>0</v>
      </c>
      <c r="U38" s="46">
        <f t="shared" si="11"/>
        <v>0</v>
      </c>
      <c r="V38" s="41">
        <f>IF(_xlfn.XLOOKUP($A38,tbl_Catalog[sku_id],tbl_Catalog[master_carton_qty])&gt;0,U38/_xlfn.XLOOKUP($A38,tbl_Catalog[sku_id],tbl_Catalog[master_carton_qty]),0)</f>
        <v>0</v>
      </c>
      <c r="W38" s="38">
        <f>V38*_xlfn.XLOOKUP($A38,tbl_Catalog[sku_id],tbl_Catalog[carton_volume_cbm])</f>
        <v>0</v>
      </c>
      <c r="X38" s="4" t="str">
        <f t="shared" si="12"/>
        <v>DEFERRED / NO PO</v>
      </c>
      <c r="Y38" s="4" t="str">
        <f>IF(U38=0,"N/A",IF(AND(MOD(U38,_xlfn.XLOOKUP($A38,tbl_Catalog[sku_id],tbl_Catalog[master_carton_qty]))=0,U38&gt;=_xlfn.XLOOKUP($A38,tbl_Catalog[sku_id],tbl_Catalog[sku_moq_units])),"MOQ OK","CHECK"))</f>
        <v>N/A</v>
      </c>
      <c r="Z38" s="4" t="str">
        <f t="shared" si="13"/>
        <v>N/A</v>
      </c>
      <c r="AA38" s="41">
        <v>0</v>
      </c>
      <c r="AB38" s="41">
        <v>0</v>
      </c>
      <c r="AC38" s="4" t="b">
        <v>0</v>
      </c>
    </row>
    <row r="39" spans="1:29" x14ac:dyDescent="0.3">
      <c r="A39" s="36" t="s">
        <v>286</v>
      </c>
      <c r="B39" s="16" t="s">
        <v>165</v>
      </c>
      <c r="C39" s="4" t="s">
        <v>188</v>
      </c>
      <c r="D39" s="41">
        <v>398</v>
      </c>
      <c r="E39" s="41">
        <v>0</v>
      </c>
      <c r="F39" s="42">
        <f>'03_FBA_Nivel1_Transfer'!E39+D39-E39</f>
        <v>398</v>
      </c>
      <c r="G39" s="39">
        <f>'02_Demand_Unconstraining'!R39</f>
        <v>1.3894</v>
      </c>
      <c r="H39" s="30">
        <f>'02_Demand_Unconstraining'!S39</f>
        <v>1.3366</v>
      </c>
      <c r="I39" s="29">
        <f>_xlfn.XLOOKUP($A39,tbl_Catalog[sku_id],tbl_Catalog[z_score])</f>
        <v>1.282</v>
      </c>
      <c r="J39" s="41">
        <f t="shared" si="7"/>
        <v>24</v>
      </c>
      <c r="K39" s="41">
        <f>'03_FBA_Nivel1_Transfer'!N39</f>
        <v>8</v>
      </c>
      <c r="L39" s="41">
        <f t="shared" si="8"/>
        <v>137</v>
      </c>
      <c r="M39" s="44">
        <f t="shared" si="9"/>
        <v>199</v>
      </c>
      <c r="N39" s="41">
        <f>_xlfn.CEILING.MATH(_xlfn.XLOOKUP($A39,tbl_Catalog[sku_id],tbl_Catalog[sku_moq_units])/_xlfn.XLOOKUP($A39,tbl_Catalog[sku_id],tbl_Catalog[master_carton_qty]),1)</f>
        <v>3</v>
      </c>
      <c r="O39" s="31">
        <f t="shared" si="10"/>
        <v>187.85087087951635</v>
      </c>
      <c r="P39" s="48">
        <f>_xlfn.LET(_xlpm.ip_sys,$F39,_xlpm.rop_sys,$L39,_xlpm.s_max,$M39,_xlpm.m_qty,_xlfn.XLOOKUP($A39,tbl_Catalog[sku_id],tbl_Catalog[master_carton_qty]),_xlpm.moq,_xlfn.XLOOKUP($A39,tbl_Catalog[sku_id],tbl_Catalog[sku_moq_units]),IF(_xlpm.ip_sys&lt;=_xlpm.rop_sys,_xlfn.CEILING.MATH(MAX(_xlpm.s_max-_xlpm.ip_sys,_xlpm.moq),_xlpm.m_qty),0))</f>
        <v>0</v>
      </c>
      <c r="Q39" s="30">
        <f>IF(P39&gt;0,(P39/_xlfn.XLOOKUP($A39,tbl_Catalog[sku_id],tbl_Catalog[master_carton_qty]))*_xlfn.XLOOKUP($A39,tbl_Catalog[sku_id],tbl_Catalog[carton_volume_cbm]),0)</f>
        <v>0</v>
      </c>
      <c r="R39" s="41">
        <v>0</v>
      </c>
      <c r="S39" s="41">
        <v>0</v>
      </c>
      <c r="T39" s="41">
        <f>S39*_xlfn.XLOOKUP($A39,tbl_Catalog[sku_id],tbl_Catalog[master_carton_qty])</f>
        <v>0</v>
      </c>
      <c r="U39" s="46">
        <f t="shared" si="11"/>
        <v>0</v>
      </c>
      <c r="V39" s="41">
        <f>IF(_xlfn.XLOOKUP($A39,tbl_Catalog[sku_id],tbl_Catalog[master_carton_qty])&gt;0,U39/_xlfn.XLOOKUP($A39,tbl_Catalog[sku_id],tbl_Catalog[master_carton_qty]),0)</f>
        <v>0</v>
      </c>
      <c r="W39" s="38">
        <f>V39*_xlfn.XLOOKUP($A39,tbl_Catalog[sku_id],tbl_Catalog[carton_volume_cbm])</f>
        <v>0</v>
      </c>
      <c r="X39" s="4" t="str">
        <f t="shared" si="12"/>
        <v>DEFERRED / NO PO</v>
      </c>
      <c r="Y39" s="4" t="str">
        <f>IF(U39=0,"N/A",IF(AND(MOD(U39,_xlfn.XLOOKUP($A39,tbl_Catalog[sku_id],tbl_Catalog[master_carton_qty]))=0,U39&gt;=_xlfn.XLOOKUP($A39,tbl_Catalog[sku_id],tbl_Catalog[sku_moq_units])),"MOQ OK","CHECK"))</f>
        <v>N/A</v>
      </c>
      <c r="Z39" s="4" t="str">
        <f t="shared" si="13"/>
        <v>N/A</v>
      </c>
      <c r="AA39" s="41">
        <v>0</v>
      </c>
      <c r="AB39" s="41">
        <v>0</v>
      </c>
      <c r="AC39" s="4" t="b">
        <v>0</v>
      </c>
    </row>
    <row r="40" spans="1:29" x14ac:dyDescent="0.3">
      <c r="A40" s="36" t="s">
        <v>289</v>
      </c>
      <c r="B40" s="16" t="s">
        <v>165</v>
      </c>
      <c r="C40" s="4" t="s">
        <v>188</v>
      </c>
      <c r="D40" s="41">
        <v>319</v>
      </c>
      <c r="E40" s="41">
        <v>0</v>
      </c>
      <c r="F40" s="42">
        <f>'03_FBA_Nivel1_Transfer'!E40+D40-E40</f>
        <v>319</v>
      </c>
      <c r="G40" s="39">
        <f>'02_Demand_Unconstraining'!R40</f>
        <v>0.49230000000000002</v>
      </c>
      <c r="H40" s="30">
        <f>'02_Demand_Unconstraining'!S40</f>
        <v>0.32</v>
      </c>
      <c r="I40" s="29">
        <f>_xlfn.XLOOKUP($A40,tbl_Catalog[sku_id],tbl_Catalog[z_score])</f>
        <v>1.282</v>
      </c>
      <c r="J40" s="41">
        <f t="shared" si="7"/>
        <v>8</v>
      </c>
      <c r="K40" s="41">
        <f>'03_FBA_Nivel1_Transfer'!N40</f>
        <v>3</v>
      </c>
      <c r="L40" s="41">
        <f t="shared" si="8"/>
        <v>48</v>
      </c>
      <c r="M40" s="44">
        <f t="shared" si="9"/>
        <v>71</v>
      </c>
      <c r="N40" s="41">
        <f>_xlfn.CEILING.MATH(_xlfn.XLOOKUP($A40,tbl_Catalog[sku_id],tbl_Catalog[sku_moq_units])/_xlfn.XLOOKUP($A40,tbl_Catalog[sku_id],tbl_Catalog[master_carton_qty]),1)</f>
        <v>3</v>
      </c>
      <c r="O40" s="31">
        <f t="shared" si="10"/>
        <v>550.47735120861262</v>
      </c>
      <c r="P40" s="48">
        <f>_xlfn.LET(_xlpm.ip_sys,$F40,_xlpm.rop_sys,$L40,_xlpm.s_max,$M40,_xlpm.m_qty,_xlfn.XLOOKUP($A40,tbl_Catalog[sku_id],tbl_Catalog[master_carton_qty]),_xlpm.moq,_xlfn.XLOOKUP($A40,tbl_Catalog[sku_id],tbl_Catalog[sku_moq_units]),IF(_xlpm.ip_sys&lt;=_xlpm.rop_sys,_xlfn.CEILING.MATH(MAX(_xlpm.s_max-_xlpm.ip_sys,_xlpm.moq),_xlpm.m_qty),0))</f>
        <v>0</v>
      </c>
      <c r="Q40" s="30">
        <f>IF(P40&gt;0,(P40/_xlfn.XLOOKUP($A40,tbl_Catalog[sku_id],tbl_Catalog[master_carton_qty]))*_xlfn.XLOOKUP($A40,tbl_Catalog[sku_id],tbl_Catalog[carton_volume_cbm]),0)</f>
        <v>0</v>
      </c>
      <c r="R40" s="41">
        <v>0</v>
      </c>
      <c r="S40" s="41">
        <v>0</v>
      </c>
      <c r="T40" s="41">
        <f>S40*_xlfn.XLOOKUP($A40,tbl_Catalog[sku_id],tbl_Catalog[master_carton_qty])</f>
        <v>0</v>
      </c>
      <c r="U40" s="46">
        <f t="shared" si="11"/>
        <v>0</v>
      </c>
      <c r="V40" s="41">
        <f>IF(_xlfn.XLOOKUP($A40,tbl_Catalog[sku_id],tbl_Catalog[master_carton_qty])&gt;0,U40/_xlfn.XLOOKUP($A40,tbl_Catalog[sku_id],tbl_Catalog[master_carton_qty]),0)</f>
        <v>0</v>
      </c>
      <c r="W40" s="38">
        <f>V40*_xlfn.XLOOKUP($A40,tbl_Catalog[sku_id],tbl_Catalog[carton_volume_cbm])</f>
        <v>0</v>
      </c>
      <c r="X40" s="4" t="str">
        <f t="shared" si="12"/>
        <v>DEFERRED / NO PO</v>
      </c>
      <c r="Y40" s="4" t="str">
        <f>IF(U40=0,"N/A",IF(AND(MOD(U40,_xlfn.XLOOKUP($A40,tbl_Catalog[sku_id],tbl_Catalog[master_carton_qty]))=0,U40&gt;=_xlfn.XLOOKUP($A40,tbl_Catalog[sku_id],tbl_Catalog[sku_moq_units])),"MOQ OK","CHECK"))</f>
        <v>N/A</v>
      </c>
      <c r="Z40" s="4" t="str">
        <f t="shared" si="13"/>
        <v>N/A</v>
      </c>
      <c r="AA40" s="41">
        <v>0</v>
      </c>
      <c r="AB40" s="41">
        <v>0</v>
      </c>
      <c r="AC40" s="4" t="b">
        <v>0</v>
      </c>
    </row>
    <row r="41" spans="1:29" x14ac:dyDescent="0.3">
      <c r="A41" s="36" t="s">
        <v>292</v>
      </c>
      <c r="B41" s="16" t="s">
        <v>293</v>
      </c>
      <c r="C41" s="4" t="s">
        <v>172</v>
      </c>
      <c r="D41" s="41">
        <v>0</v>
      </c>
      <c r="E41" s="41">
        <v>0</v>
      </c>
      <c r="F41" s="42">
        <f>'03_FBA_Nivel1_Transfer'!E41+D41-E41</f>
        <v>280</v>
      </c>
      <c r="G41" s="39">
        <f>'02_Demand_Unconstraining'!R41</f>
        <v>16.7241</v>
      </c>
      <c r="H41" s="30">
        <f>'02_Demand_Unconstraining'!S41</f>
        <v>5.4660000000000002</v>
      </c>
      <c r="I41" s="29">
        <f>_xlfn.XLOOKUP($A41,tbl_Catalog[sku_id],tbl_Catalog[z_score])</f>
        <v>1.881</v>
      </c>
      <c r="J41" s="41">
        <f t="shared" si="7"/>
        <v>327</v>
      </c>
      <c r="K41" s="41">
        <f>'03_FBA_Nivel1_Transfer'!N41</f>
        <v>356</v>
      </c>
      <c r="L41" s="41">
        <f t="shared" si="8"/>
        <v>1938</v>
      </c>
      <c r="M41" s="44">
        <f t="shared" si="9"/>
        <v>2690</v>
      </c>
      <c r="N41" s="41">
        <f>_xlfn.CEILING.MATH(_xlfn.XLOOKUP($A41,tbl_Catalog[sku_id],tbl_Catalog[sku_moq_units])/_xlfn.XLOOKUP($A41,tbl_Catalog[sku_id],tbl_Catalog[master_carton_qty]),1)</f>
        <v>3</v>
      </c>
      <c r="O41" s="31">
        <f t="shared" si="10"/>
        <v>-99.138369179806389</v>
      </c>
      <c r="P41" s="48">
        <f>_xlfn.LET(_xlpm.ip_sys,$F41,_xlpm.rop_sys,$L41,_xlpm.s_max,$M41,_xlpm.m_qty,_xlfn.XLOOKUP($A41,tbl_Catalog[sku_id],tbl_Catalog[master_carton_qty]),_xlpm.moq,_xlfn.XLOOKUP($A41,tbl_Catalog[sku_id],tbl_Catalog[sku_moq_units]),IF(_xlpm.ip_sys&lt;=_xlpm.rop_sys,_xlfn.CEILING.MATH(MAX(_xlpm.s_max-_xlpm.ip_sys,_xlpm.moq),_xlpm.m_qty),0))</f>
        <v>2500</v>
      </c>
      <c r="Q41" s="30">
        <f>IF(P41&gt;0,(P41/_xlfn.XLOOKUP($A41,tbl_Catalog[sku_id],tbl_Catalog[master_carton_qty]))*_xlfn.XLOOKUP($A41,tbl_Catalog[sku_id],tbl_Catalog[carton_volume_cbm]),0)</f>
        <v>1.5</v>
      </c>
      <c r="R41" s="41">
        <v>0</v>
      </c>
      <c r="S41" s="41">
        <v>0</v>
      </c>
      <c r="T41" s="41">
        <f>S41*_xlfn.XLOOKUP($A41,tbl_Catalog[sku_id],tbl_Catalog[master_carton_qty])</f>
        <v>0</v>
      </c>
      <c r="U41" s="46">
        <f t="shared" si="11"/>
        <v>0</v>
      </c>
      <c r="V41" s="41">
        <f>IF(_xlfn.XLOOKUP($A41,tbl_Catalog[sku_id],tbl_Catalog[master_carton_qty])&gt;0,U41/_xlfn.XLOOKUP($A41,tbl_Catalog[sku_id],tbl_Catalog[master_carton_qty]),0)</f>
        <v>0</v>
      </c>
      <c r="W41" s="38">
        <f>V41*_xlfn.XLOOKUP($A41,tbl_Catalog[sku_id],tbl_Catalog[carton_volume_cbm])</f>
        <v>0</v>
      </c>
      <c r="X41" s="4" t="str">
        <f t="shared" si="12"/>
        <v>DEFERRED / NO PO</v>
      </c>
      <c r="Y41" s="4" t="str">
        <f>IF(U41=0,"N/A",IF(AND(MOD(U41,_xlfn.XLOOKUP($A41,tbl_Catalog[sku_id],tbl_Catalog[master_carton_qty]))=0,U41&gt;=_xlfn.XLOOKUP($A41,tbl_Catalog[sku_id],tbl_Catalog[sku_moq_units])),"MOQ OK","CHECK"))</f>
        <v>N/A</v>
      </c>
      <c r="Z41" s="4" t="str">
        <f t="shared" si="13"/>
        <v>N/A</v>
      </c>
      <c r="AA41" s="41">
        <v>1000</v>
      </c>
      <c r="AB41" s="41">
        <v>19</v>
      </c>
      <c r="AC41" s="4" t="b">
        <v>0</v>
      </c>
    </row>
    <row r="42" spans="1:29" x14ac:dyDescent="0.3">
      <c r="A42" s="36" t="s">
        <v>298</v>
      </c>
      <c r="B42" s="16" t="s">
        <v>293</v>
      </c>
      <c r="C42" s="4" t="s">
        <v>188</v>
      </c>
      <c r="D42" s="41">
        <v>213</v>
      </c>
      <c r="E42" s="41">
        <v>0</v>
      </c>
      <c r="F42" s="42">
        <f>'03_FBA_Nivel1_Transfer'!E42+D42-E42</f>
        <v>213</v>
      </c>
      <c r="G42" s="39">
        <f>'02_Demand_Unconstraining'!R42</f>
        <v>1.2114</v>
      </c>
      <c r="H42" s="30">
        <f>'02_Demand_Unconstraining'!S42</f>
        <v>0.75480000000000003</v>
      </c>
      <c r="I42" s="29">
        <f>_xlfn.XLOOKUP($A42,tbl_Catalog[sku_id],tbl_Catalog[z_score])</f>
        <v>1.282</v>
      </c>
      <c r="J42" s="41">
        <f t="shared" si="7"/>
        <v>18</v>
      </c>
      <c r="K42" s="41">
        <f>'03_FBA_Nivel1_Transfer'!N42</f>
        <v>5</v>
      </c>
      <c r="L42" s="41">
        <f t="shared" si="8"/>
        <v>114</v>
      </c>
      <c r="M42" s="44">
        <f t="shared" si="9"/>
        <v>169</v>
      </c>
      <c r="N42" s="41">
        <f>_xlfn.CEILING.MATH(_xlfn.XLOOKUP($A42,tbl_Catalog[sku_id],tbl_Catalog[sku_moq_units])/_xlfn.XLOOKUP($A42,tbl_Catalog[sku_id],tbl_Catalog[master_carton_qty]),1)</f>
        <v>3</v>
      </c>
      <c r="O42" s="31">
        <f t="shared" si="10"/>
        <v>81.723625557206532</v>
      </c>
      <c r="P42" s="48">
        <f>_xlfn.LET(_xlpm.ip_sys,$F42,_xlpm.rop_sys,$L42,_xlpm.s_max,$M42,_xlpm.m_qty,_xlfn.XLOOKUP($A42,tbl_Catalog[sku_id],tbl_Catalog[master_carton_qty]),_xlpm.moq,_xlfn.XLOOKUP($A42,tbl_Catalog[sku_id],tbl_Catalog[sku_moq_units]),IF(_xlpm.ip_sys&lt;=_xlpm.rop_sys,_xlfn.CEILING.MATH(MAX(_xlpm.s_max-_xlpm.ip_sys,_xlpm.moq),_xlpm.m_qty),0))</f>
        <v>0</v>
      </c>
      <c r="Q42" s="30">
        <f>IF(P42&gt;0,(P42/_xlfn.XLOOKUP($A42,tbl_Catalog[sku_id],tbl_Catalog[master_carton_qty]))*_xlfn.XLOOKUP($A42,tbl_Catalog[sku_id],tbl_Catalog[carton_volume_cbm]),0)</f>
        <v>0</v>
      </c>
      <c r="R42" s="41">
        <v>0</v>
      </c>
      <c r="S42" s="41">
        <v>0</v>
      </c>
      <c r="T42" s="41">
        <f>S42*_xlfn.XLOOKUP($A42,tbl_Catalog[sku_id],tbl_Catalog[master_carton_qty])</f>
        <v>0</v>
      </c>
      <c r="U42" s="46">
        <f t="shared" si="11"/>
        <v>0</v>
      </c>
      <c r="V42" s="41">
        <f>IF(_xlfn.XLOOKUP($A42,tbl_Catalog[sku_id],tbl_Catalog[master_carton_qty])&gt;0,U42/_xlfn.XLOOKUP($A42,tbl_Catalog[sku_id],tbl_Catalog[master_carton_qty]),0)</f>
        <v>0</v>
      </c>
      <c r="W42" s="38">
        <f>V42*_xlfn.XLOOKUP($A42,tbl_Catalog[sku_id],tbl_Catalog[carton_volume_cbm])</f>
        <v>0</v>
      </c>
      <c r="X42" s="4" t="str">
        <f t="shared" si="12"/>
        <v>DEFERRED / NO PO</v>
      </c>
      <c r="Y42" s="4" t="str">
        <f>IF(U42=0,"N/A",IF(AND(MOD(U42,_xlfn.XLOOKUP($A42,tbl_Catalog[sku_id],tbl_Catalog[master_carton_qty]))=0,U42&gt;=_xlfn.XLOOKUP($A42,tbl_Catalog[sku_id],tbl_Catalog[sku_moq_units])),"MOQ OK","CHECK"))</f>
        <v>N/A</v>
      </c>
      <c r="Z42" s="4" t="str">
        <f t="shared" si="13"/>
        <v>N/A</v>
      </c>
      <c r="AA42" s="41">
        <v>0</v>
      </c>
      <c r="AB42" s="41">
        <v>0</v>
      </c>
      <c r="AC42" s="4" t="b">
        <v>0</v>
      </c>
    </row>
    <row r="43" spans="1:29" x14ac:dyDescent="0.3">
      <c r="A43" s="36" t="s">
        <v>301</v>
      </c>
      <c r="B43" s="16" t="s">
        <v>293</v>
      </c>
      <c r="C43" s="4" t="s">
        <v>179</v>
      </c>
      <c r="D43" s="41">
        <v>219</v>
      </c>
      <c r="E43" s="41">
        <v>0</v>
      </c>
      <c r="F43" s="42">
        <f>'03_FBA_Nivel1_Transfer'!E43+D43-E43</f>
        <v>319</v>
      </c>
      <c r="G43" s="39">
        <f>'02_Demand_Unconstraining'!R43</f>
        <v>2.7610000000000001</v>
      </c>
      <c r="H43" s="30">
        <f>'02_Demand_Unconstraining'!S43</f>
        <v>1.3858999999999999</v>
      </c>
      <c r="I43" s="29">
        <f>_xlfn.XLOOKUP($A43,tbl_Catalog[sku_id],tbl_Catalog[z_score])</f>
        <v>1.645</v>
      </c>
      <c r="J43" s="41">
        <f t="shared" si="7"/>
        <v>50</v>
      </c>
      <c r="K43" s="41">
        <f>'03_FBA_Nivel1_Transfer'!N43</f>
        <v>12</v>
      </c>
      <c r="L43" s="41">
        <f t="shared" si="8"/>
        <v>270</v>
      </c>
      <c r="M43" s="44">
        <f t="shared" si="9"/>
        <v>394</v>
      </c>
      <c r="N43" s="41">
        <f>_xlfn.CEILING.MATH(_xlfn.XLOOKUP($A43,tbl_Catalog[sku_id],tbl_Catalog[sku_moq_units])/_xlfn.XLOOKUP($A43,tbl_Catalog[sku_id],tbl_Catalog[master_carton_qty]),1)</f>
        <v>3</v>
      </c>
      <c r="O43" s="31">
        <f t="shared" si="10"/>
        <v>17.747193045997825</v>
      </c>
      <c r="P43" s="48">
        <f>_xlfn.LET(_xlpm.ip_sys,$F43,_xlpm.rop_sys,$L43,_xlpm.s_max,$M43,_xlpm.m_qty,_xlfn.XLOOKUP($A43,tbl_Catalog[sku_id],tbl_Catalog[master_carton_qty]),_xlpm.moq,_xlfn.XLOOKUP($A43,tbl_Catalog[sku_id],tbl_Catalog[sku_moq_units]),IF(_xlpm.ip_sys&lt;=_xlpm.rop_sys,_xlfn.CEILING.MATH(MAX(_xlpm.s_max-_xlpm.ip_sys,_xlpm.moq),_xlpm.m_qty),0))</f>
        <v>0</v>
      </c>
      <c r="Q43" s="30">
        <f>IF(P43&gt;0,(P43/_xlfn.XLOOKUP($A43,tbl_Catalog[sku_id],tbl_Catalog[master_carton_qty]))*_xlfn.XLOOKUP($A43,tbl_Catalog[sku_id],tbl_Catalog[carton_volume_cbm]),0)</f>
        <v>0</v>
      </c>
      <c r="R43" s="41">
        <v>0</v>
      </c>
      <c r="S43" s="41">
        <v>0</v>
      </c>
      <c r="T43" s="41">
        <f>S43*_xlfn.XLOOKUP($A43,tbl_Catalog[sku_id],tbl_Catalog[master_carton_qty])</f>
        <v>0</v>
      </c>
      <c r="U43" s="46">
        <f t="shared" si="11"/>
        <v>0</v>
      </c>
      <c r="V43" s="41">
        <f>IF(_xlfn.XLOOKUP($A43,tbl_Catalog[sku_id],tbl_Catalog[master_carton_qty])&gt;0,U43/_xlfn.XLOOKUP($A43,tbl_Catalog[sku_id],tbl_Catalog[master_carton_qty]),0)</f>
        <v>0</v>
      </c>
      <c r="W43" s="38">
        <f>V43*_xlfn.XLOOKUP($A43,tbl_Catalog[sku_id],tbl_Catalog[carton_volume_cbm])</f>
        <v>0</v>
      </c>
      <c r="X43" s="4" t="str">
        <f t="shared" si="12"/>
        <v>DEFERRED / NO PO</v>
      </c>
      <c r="Y43" s="4" t="str">
        <f>IF(U43=0,"N/A",IF(AND(MOD(U43,_xlfn.XLOOKUP($A43,tbl_Catalog[sku_id],tbl_Catalog[master_carton_qty]))=0,U43&gt;=_xlfn.XLOOKUP($A43,tbl_Catalog[sku_id],tbl_Catalog[sku_moq_units])),"MOQ OK","CHECK"))</f>
        <v>N/A</v>
      </c>
      <c r="Z43" s="4" t="str">
        <f t="shared" si="13"/>
        <v>N/A</v>
      </c>
      <c r="AA43" s="41">
        <v>0</v>
      </c>
      <c r="AB43" s="41">
        <v>0</v>
      </c>
      <c r="AC43" s="4" t="b">
        <v>0</v>
      </c>
    </row>
    <row r="44" spans="1:29" x14ac:dyDescent="0.3">
      <c r="A44" s="36" t="s">
        <v>304</v>
      </c>
      <c r="B44" s="16" t="s">
        <v>293</v>
      </c>
      <c r="C44" s="4" t="s">
        <v>188</v>
      </c>
      <c r="D44" s="41">
        <v>279</v>
      </c>
      <c r="E44" s="41">
        <v>0</v>
      </c>
      <c r="F44" s="42">
        <f>'03_FBA_Nivel1_Transfer'!E44+D44-E44</f>
        <v>279</v>
      </c>
      <c r="G44" s="39">
        <f>'02_Demand_Unconstraining'!R44</f>
        <v>0.92849999999999999</v>
      </c>
      <c r="H44" s="30">
        <f>'02_Demand_Unconstraining'!S44</f>
        <v>0.59350000000000003</v>
      </c>
      <c r="I44" s="29">
        <f>_xlfn.XLOOKUP($A44,tbl_Catalog[sku_id],tbl_Catalog[z_score])</f>
        <v>1.282</v>
      </c>
      <c r="J44" s="41">
        <f t="shared" si="7"/>
        <v>14</v>
      </c>
      <c r="K44" s="41">
        <f>'03_FBA_Nivel1_Transfer'!N44</f>
        <v>3</v>
      </c>
      <c r="L44" s="41">
        <f t="shared" si="8"/>
        <v>87</v>
      </c>
      <c r="M44" s="44">
        <f t="shared" si="9"/>
        <v>129</v>
      </c>
      <c r="N44" s="41">
        <f>_xlfn.CEILING.MATH(_xlfn.XLOOKUP($A44,tbl_Catalog[sku_id],tbl_Catalog[sku_moq_units])/_xlfn.XLOOKUP($A44,tbl_Catalog[sku_id],tbl_Catalog[master_carton_qty]),1)</f>
        <v>3</v>
      </c>
      <c r="O44" s="31">
        <f t="shared" si="10"/>
        <v>206.78513731825527</v>
      </c>
      <c r="P44" s="48">
        <f>_xlfn.LET(_xlpm.ip_sys,$F44,_xlpm.rop_sys,$L44,_xlpm.s_max,$M44,_xlpm.m_qty,_xlfn.XLOOKUP($A44,tbl_Catalog[sku_id],tbl_Catalog[master_carton_qty]),_xlpm.moq,_xlfn.XLOOKUP($A44,tbl_Catalog[sku_id],tbl_Catalog[sku_moq_units]),IF(_xlpm.ip_sys&lt;=_xlpm.rop_sys,_xlfn.CEILING.MATH(MAX(_xlpm.s_max-_xlpm.ip_sys,_xlpm.moq),_xlpm.m_qty),0))</f>
        <v>0</v>
      </c>
      <c r="Q44" s="30">
        <f>IF(P44&gt;0,(P44/_xlfn.XLOOKUP($A44,tbl_Catalog[sku_id],tbl_Catalog[master_carton_qty]))*_xlfn.XLOOKUP($A44,tbl_Catalog[sku_id],tbl_Catalog[carton_volume_cbm]),0)</f>
        <v>0</v>
      </c>
      <c r="R44" s="41">
        <v>0</v>
      </c>
      <c r="S44" s="41">
        <v>0</v>
      </c>
      <c r="T44" s="41">
        <f>S44*_xlfn.XLOOKUP($A44,tbl_Catalog[sku_id],tbl_Catalog[master_carton_qty])</f>
        <v>0</v>
      </c>
      <c r="U44" s="46">
        <f t="shared" si="11"/>
        <v>0</v>
      </c>
      <c r="V44" s="41">
        <f>IF(_xlfn.XLOOKUP($A44,tbl_Catalog[sku_id],tbl_Catalog[master_carton_qty])&gt;0,U44/_xlfn.XLOOKUP($A44,tbl_Catalog[sku_id],tbl_Catalog[master_carton_qty]),0)</f>
        <v>0</v>
      </c>
      <c r="W44" s="38">
        <f>V44*_xlfn.XLOOKUP($A44,tbl_Catalog[sku_id],tbl_Catalog[carton_volume_cbm])</f>
        <v>0</v>
      </c>
      <c r="X44" s="4" t="str">
        <f t="shared" si="12"/>
        <v>DEFERRED / NO PO</v>
      </c>
      <c r="Y44" s="4" t="str">
        <f>IF(U44=0,"N/A",IF(AND(MOD(U44,_xlfn.XLOOKUP($A44,tbl_Catalog[sku_id],tbl_Catalog[master_carton_qty]))=0,U44&gt;=_xlfn.XLOOKUP($A44,tbl_Catalog[sku_id],tbl_Catalog[sku_moq_units])),"MOQ OK","CHECK"))</f>
        <v>N/A</v>
      </c>
      <c r="Z44" s="4" t="str">
        <f t="shared" si="13"/>
        <v>N/A</v>
      </c>
      <c r="AA44" s="41">
        <v>0</v>
      </c>
      <c r="AB44" s="41">
        <v>0</v>
      </c>
      <c r="AC44" s="4" t="b">
        <v>0</v>
      </c>
    </row>
    <row r="45" spans="1:29" x14ac:dyDescent="0.3">
      <c r="A45" s="36" t="s">
        <v>307</v>
      </c>
      <c r="B45" s="16" t="s">
        <v>293</v>
      </c>
      <c r="C45" s="4" t="s">
        <v>188</v>
      </c>
      <c r="D45" s="41">
        <v>215</v>
      </c>
      <c r="E45" s="41">
        <v>0</v>
      </c>
      <c r="F45" s="42">
        <f>'03_FBA_Nivel1_Transfer'!E45+D45-E45</f>
        <v>215</v>
      </c>
      <c r="G45" s="39">
        <f>'02_Demand_Unconstraining'!R45</f>
        <v>0.98380000000000001</v>
      </c>
      <c r="H45" s="30">
        <f>'02_Demand_Unconstraining'!S45</f>
        <v>0.58069999999999999</v>
      </c>
      <c r="I45" s="29">
        <f>_xlfn.XLOOKUP($A45,tbl_Catalog[sku_id],tbl_Catalog[z_score])</f>
        <v>1.282</v>
      </c>
      <c r="J45" s="41">
        <f t="shared" si="7"/>
        <v>15</v>
      </c>
      <c r="K45" s="41">
        <f>'03_FBA_Nivel1_Transfer'!N45</f>
        <v>4</v>
      </c>
      <c r="L45" s="41">
        <f t="shared" si="8"/>
        <v>93</v>
      </c>
      <c r="M45" s="44">
        <f t="shared" si="9"/>
        <v>138</v>
      </c>
      <c r="N45" s="41">
        <f>_xlfn.CEILING.MATH(_xlfn.XLOOKUP($A45,tbl_Catalog[sku_id],tbl_Catalog[sku_moq_units])/_xlfn.XLOOKUP($A45,tbl_Catalog[sku_id],tbl_Catalog[master_carton_qty]),1)</f>
        <v>3</v>
      </c>
      <c r="O45" s="31">
        <f t="shared" si="10"/>
        <v>124.00894490750153</v>
      </c>
      <c r="P45" s="48">
        <f>_xlfn.LET(_xlpm.ip_sys,$F45,_xlpm.rop_sys,$L45,_xlpm.s_max,$M45,_xlpm.m_qty,_xlfn.XLOOKUP($A45,tbl_Catalog[sku_id],tbl_Catalog[master_carton_qty]),_xlpm.moq,_xlfn.XLOOKUP($A45,tbl_Catalog[sku_id],tbl_Catalog[sku_moq_units]),IF(_xlpm.ip_sys&lt;=_xlpm.rop_sys,_xlfn.CEILING.MATH(MAX(_xlpm.s_max-_xlpm.ip_sys,_xlpm.moq),_xlpm.m_qty),0))</f>
        <v>0</v>
      </c>
      <c r="Q45" s="30">
        <f>IF(P45&gt;0,(P45/_xlfn.XLOOKUP($A45,tbl_Catalog[sku_id],tbl_Catalog[master_carton_qty]))*_xlfn.XLOOKUP($A45,tbl_Catalog[sku_id],tbl_Catalog[carton_volume_cbm]),0)</f>
        <v>0</v>
      </c>
      <c r="R45" s="41">
        <v>0</v>
      </c>
      <c r="S45" s="41">
        <v>0</v>
      </c>
      <c r="T45" s="41">
        <f>S45*_xlfn.XLOOKUP($A45,tbl_Catalog[sku_id],tbl_Catalog[master_carton_qty])</f>
        <v>0</v>
      </c>
      <c r="U45" s="46">
        <f t="shared" si="11"/>
        <v>0</v>
      </c>
      <c r="V45" s="41">
        <f>IF(_xlfn.XLOOKUP($A45,tbl_Catalog[sku_id],tbl_Catalog[master_carton_qty])&gt;0,U45/_xlfn.XLOOKUP($A45,tbl_Catalog[sku_id],tbl_Catalog[master_carton_qty]),0)</f>
        <v>0</v>
      </c>
      <c r="W45" s="38">
        <f>V45*_xlfn.XLOOKUP($A45,tbl_Catalog[sku_id],tbl_Catalog[carton_volume_cbm])</f>
        <v>0</v>
      </c>
      <c r="X45" s="4" t="str">
        <f t="shared" si="12"/>
        <v>DEFERRED / NO PO</v>
      </c>
      <c r="Y45" s="4" t="str">
        <f>IF(U45=0,"N/A",IF(AND(MOD(U45,_xlfn.XLOOKUP($A45,tbl_Catalog[sku_id],tbl_Catalog[master_carton_qty]))=0,U45&gt;=_xlfn.XLOOKUP($A45,tbl_Catalog[sku_id],tbl_Catalog[sku_moq_units])),"MOQ OK","CHECK"))</f>
        <v>N/A</v>
      </c>
      <c r="Z45" s="4" t="str">
        <f t="shared" si="13"/>
        <v>N/A</v>
      </c>
      <c r="AA45" s="41">
        <v>0</v>
      </c>
      <c r="AB45" s="41">
        <v>0</v>
      </c>
      <c r="AC45" s="4" t="b">
        <v>0</v>
      </c>
    </row>
    <row r="46" spans="1:29" x14ac:dyDescent="0.3">
      <c r="A46" s="36" t="s">
        <v>310</v>
      </c>
      <c r="B46" s="16" t="s">
        <v>293</v>
      </c>
      <c r="C46" s="4" t="s">
        <v>188</v>
      </c>
      <c r="D46" s="41">
        <v>305</v>
      </c>
      <c r="E46" s="41">
        <v>0</v>
      </c>
      <c r="F46" s="42">
        <f>'03_FBA_Nivel1_Transfer'!E46+D46-E46</f>
        <v>305</v>
      </c>
      <c r="G46" s="39">
        <f>'02_Demand_Unconstraining'!R46</f>
        <v>0.62370000000000003</v>
      </c>
      <c r="H46" s="30">
        <f>'02_Demand_Unconstraining'!S46</f>
        <v>0.36599999999999999</v>
      </c>
      <c r="I46" s="29">
        <f>_xlfn.XLOOKUP($A46,tbl_Catalog[sku_id],tbl_Catalog[z_score])</f>
        <v>1.282</v>
      </c>
      <c r="J46" s="41">
        <f t="shared" si="7"/>
        <v>9</v>
      </c>
      <c r="K46" s="41">
        <f>'03_FBA_Nivel1_Transfer'!N46</f>
        <v>3</v>
      </c>
      <c r="L46" s="41">
        <f t="shared" si="8"/>
        <v>59</v>
      </c>
      <c r="M46" s="44">
        <f t="shared" si="9"/>
        <v>87</v>
      </c>
      <c r="N46" s="41">
        <f>_xlfn.CEILING.MATH(_xlfn.XLOOKUP($A46,tbl_Catalog[sku_id],tbl_Catalog[sku_moq_units])/_xlfn.XLOOKUP($A46,tbl_Catalog[sku_id],tbl_Catalog[master_carton_qty]),1)</f>
        <v>3</v>
      </c>
      <c r="O46" s="31">
        <f t="shared" si="10"/>
        <v>394.42039442039442</v>
      </c>
      <c r="P46" s="48">
        <f>_xlfn.LET(_xlpm.ip_sys,$F46,_xlpm.rop_sys,$L46,_xlpm.s_max,$M46,_xlpm.m_qty,_xlfn.XLOOKUP($A46,tbl_Catalog[sku_id],tbl_Catalog[master_carton_qty]),_xlpm.moq,_xlfn.XLOOKUP($A46,tbl_Catalog[sku_id],tbl_Catalog[sku_moq_units]),IF(_xlpm.ip_sys&lt;=_xlpm.rop_sys,_xlfn.CEILING.MATH(MAX(_xlpm.s_max-_xlpm.ip_sys,_xlpm.moq),_xlpm.m_qty),0))</f>
        <v>0</v>
      </c>
      <c r="Q46" s="30">
        <f>IF(P46&gt;0,(P46/_xlfn.XLOOKUP($A46,tbl_Catalog[sku_id],tbl_Catalog[master_carton_qty]))*_xlfn.XLOOKUP($A46,tbl_Catalog[sku_id],tbl_Catalog[carton_volume_cbm]),0)</f>
        <v>0</v>
      </c>
      <c r="R46" s="41">
        <v>0</v>
      </c>
      <c r="S46" s="41">
        <v>0</v>
      </c>
      <c r="T46" s="41">
        <f>S46*_xlfn.XLOOKUP($A46,tbl_Catalog[sku_id],tbl_Catalog[master_carton_qty])</f>
        <v>0</v>
      </c>
      <c r="U46" s="46">
        <f t="shared" si="11"/>
        <v>0</v>
      </c>
      <c r="V46" s="41">
        <f>IF(_xlfn.XLOOKUP($A46,tbl_Catalog[sku_id],tbl_Catalog[master_carton_qty])&gt;0,U46/_xlfn.XLOOKUP($A46,tbl_Catalog[sku_id],tbl_Catalog[master_carton_qty]),0)</f>
        <v>0</v>
      </c>
      <c r="W46" s="38">
        <f>V46*_xlfn.XLOOKUP($A46,tbl_Catalog[sku_id],tbl_Catalog[carton_volume_cbm])</f>
        <v>0</v>
      </c>
      <c r="X46" s="4" t="str">
        <f t="shared" si="12"/>
        <v>DEFERRED / NO PO</v>
      </c>
      <c r="Y46" s="4" t="str">
        <f>IF(U46=0,"N/A",IF(AND(MOD(U46,_xlfn.XLOOKUP($A46,tbl_Catalog[sku_id],tbl_Catalog[master_carton_qty]))=0,U46&gt;=_xlfn.XLOOKUP($A46,tbl_Catalog[sku_id],tbl_Catalog[sku_moq_units])),"MOQ OK","CHECK"))</f>
        <v>N/A</v>
      </c>
      <c r="Z46" s="4" t="str">
        <f t="shared" si="13"/>
        <v>N/A</v>
      </c>
      <c r="AA46" s="41">
        <v>0</v>
      </c>
      <c r="AB46" s="41">
        <v>0</v>
      </c>
      <c r="AC46" s="4" t="b">
        <v>0</v>
      </c>
    </row>
    <row r="47" spans="1:29" x14ac:dyDescent="0.3">
      <c r="A47" s="36" t="s">
        <v>313</v>
      </c>
      <c r="B47" s="16" t="s">
        <v>293</v>
      </c>
      <c r="C47" s="4" t="s">
        <v>188</v>
      </c>
      <c r="D47" s="41">
        <v>295</v>
      </c>
      <c r="E47" s="41">
        <v>0</v>
      </c>
      <c r="F47" s="42">
        <f>'03_FBA_Nivel1_Transfer'!E47+D47-E47</f>
        <v>295</v>
      </c>
      <c r="G47" s="39">
        <f>'02_Demand_Unconstraining'!R47</f>
        <v>0.87170000000000003</v>
      </c>
      <c r="H47" s="30">
        <f>'02_Demand_Unconstraining'!S47</f>
        <v>0.52100000000000002</v>
      </c>
      <c r="I47" s="29">
        <f>_xlfn.XLOOKUP($A47,tbl_Catalog[sku_id],tbl_Catalog[z_score])</f>
        <v>1.282</v>
      </c>
      <c r="J47" s="41">
        <f t="shared" si="7"/>
        <v>13</v>
      </c>
      <c r="K47" s="41">
        <f>'03_FBA_Nivel1_Transfer'!N47</f>
        <v>4</v>
      </c>
      <c r="L47" s="41">
        <f t="shared" si="8"/>
        <v>83</v>
      </c>
      <c r="M47" s="44">
        <f t="shared" si="9"/>
        <v>122</v>
      </c>
      <c r="N47" s="41">
        <f>_xlfn.CEILING.MATH(_xlfn.XLOOKUP($A47,tbl_Catalog[sku_id],tbl_Catalog[sku_moq_units])/_xlfn.XLOOKUP($A47,tbl_Catalog[sku_id],tbl_Catalog[master_carton_qty]),1)</f>
        <v>3</v>
      </c>
      <c r="O47" s="31">
        <f t="shared" si="10"/>
        <v>243.2029367901801</v>
      </c>
      <c r="P47" s="48">
        <f>_xlfn.LET(_xlpm.ip_sys,$F47,_xlpm.rop_sys,$L47,_xlpm.s_max,$M47,_xlpm.m_qty,_xlfn.XLOOKUP($A47,tbl_Catalog[sku_id],tbl_Catalog[master_carton_qty]),_xlpm.moq,_xlfn.XLOOKUP($A47,tbl_Catalog[sku_id],tbl_Catalog[sku_moq_units]),IF(_xlpm.ip_sys&lt;=_xlpm.rop_sys,_xlfn.CEILING.MATH(MAX(_xlpm.s_max-_xlpm.ip_sys,_xlpm.moq),_xlpm.m_qty),0))</f>
        <v>0</v>
      </c>
      <c r="Q47" s="30">
        <f>IF(P47&gt;0,(P47/_xlfn.XLOOKUP($A47,tbl_Catalog[sku_id],tbl_Catalog[master_carton_qty]))*_xlfn.XLOOKUP($A47,tbl_Catalog[sku_id],tbl_Catalog[carton_volume_cbm]),0)</f>
        <v>0</v>
      </c>
      <c r="R47" s="41">
        <v>0</v>
      </c>
      <c r="S47" s="41">
        <v>0</v>
      </c>
      <c r="T47" s="41">
        <f>S47*_xlfn.XLOOKUP($A47,tbl_Catalog[sku_id],tbl_Catalog[master_carton_qty])</f>
        <v>0</v>
      </c>
      <c r="U47" s="46">
        <f t="shared" si="11"/>
        <v>0</v>
      </c>
      <c r="V47" s="41">
        <f>IF(_xlfn.XLOOKUP($A47,tbl_Catalog[sku_id],tbl_Catalog[master_carton_qty])&gt;0,U47/_xlfn.XLOOKUP($A47,tbl_Catalog[sku_id],tbl_Catalog[master_carton_qty]),0)</f>
        <v>0</v>
      </c>
      <c r="W47" s="38">
        <f>V47*_xlfn.XLOOKUP($A47,tbl_Catalog[sku_id],tbl_Catalog[carton_volume_cbm])</f>
        <v>0</v>
      </c>
      <c r="X47" s="4" t="str">
        <f t="shared" si="12"/>
        <v>DEFERRED / NO PO</v>
      </c>
      <c r="Y47" s="4" t="str">
        <f>IF(U47=0,"N/A",IF(AND(MOD(U47,_xlfn.XLOOKUP($A47,tbl_Catalog[sku_id],tbl_Catalog[master_carton_qty]))=0,U47&gt;=_xlfn.XLOOKUP($A47,tbl_Catalog[sku_id],tbl_Catalog[sku_moq_units])),"MOQ OK","CHECK"))</f>
        <v>N/A</v>
      </c>
      <c r="Z47" s="4" t="str">
        <f t="shared" si="13"/>
        <v>N/A</v>
      </c>
      <c r="AA47" s="41">
        <v>0</v>
      </c>
      <c r="AB47" s="41">
        <v>0</v>
      </c>
      <c r="AC47" s="4" t="b">
        <v>0</v>
      </c>
    </row>
    <row r="48" spans="1:29" x14ac:dyDescent="0.3">
      <c r="A48" s="36" t="s">
        <v>316</v>
      </c>
      <c r="B48" s="16" t="s">
        <v>293</v>
      </c>
      <c r="C48" s="4" t="s">
        <v>188</v>
      </c>
      <c r="D48" s="41">
        <v>292</v>
      </c>
      <c r="E48" s="41">
        <v>0</v>
      </c>
      <c r="F48" s="42">
        <f>'03_FBA_Nivel1_Transfer'!E48+D48-E48</f>
        <v>292</v>
      </c>
      <c r="G48" s="39">
        <f>'02_Demand_Unconstraining'!R48</f>
        <v>0.42799999999999999</v>
      </c>
      <c r="H48" s="30">
        <f>'02_Demand_Unconstraining'!S48</f>
        <v>0.28189999999999998</v>
      </c>
      <c r="I48" s="29">
        <f>_xlfn.XLOOKUP($A48,tbl_Catalog[sku_id],tbl_Catalog[z_score])</f>
        <v>1.282</v>
      </c>
      <c r="J48" s="41">
        <f t="shared" si="7"/>
        <v>7</v>
      </c>
      <c r="K48" s="41">
        <f>'03_FBA_Nivel1_Transfer'!N48</f>
        <v>2</v>
      </c>
      <c r="L48" s="41">
        <f t="shared" si="8"/>
        <v>42</v>
      </c>
      <c r="M48" s="44">
        <f t="shared" si="9"/>
        <v>61</v>
      </c>
      <c r="N48" s="41">
        <f>_xlfn.CEILING.MATH(_xlfn.XLOOKUP($A48,tbl_Catalog[sku_id],tbl_Catalog[sku_moq_units])/_xlfn.XLOOKUP($A48,tbl_Catalog[sku_id],tbl_Catalog[master_carton_qty]),1)</f>
        <v>3</v>
      </c>
      <c r="O48" s="31">
        <f t="shared" si="10"/>
        <v>584.1121495327103</v>
      </c>
      <c r="P48" s="48">
        <f>_xlfn.LET(_xlpm.ip_sys,$F48,_xlpm.rop_sys,$L48,_xlpm.s_max,$M48,_xlpm.m_qty,_xlfn.XLOOKUP($A48,tbl_Catalog[sku_id],tbl_Catalog[master_carton_qty]),_xlpm.moq,_xlfn.XLOOKUP($A48,tbl_Catalog[sku_id],tbl_Catalog[sku_moq_units]),IF(_xlpm.ip_sys&lt;=_xlpm.rop_sys,_xlfn.CEILING.MATH(MAX(_xlpm.s_max-_xlpm.ip_sys,_xlpm.moq),_xlpm.m_qty),0))</f>
        <v>0</v>
      </c>
      <c r="Q48" s="30">
        <f>IF(P48&gt;0,(P48/_xlfn.XLOOKUP($A48,tbl_Catalog[sku_id],tbl_Catalog[master_carton_qty]))*_xlfn.XLOOKUP($A48,tbl_Catalog[sku_id],tbl_Catalog[carton_volume_cbm]),0)</f>
        <v>0</v>
      </c>
      <c r="R48" s="41">
        <v>0</v>
      </c>
      <c r="S48" s="41">
        <v>0</v>
      </c>
      <c r="T48" s="41">
        <f>S48*_xlfn.XLOOKUP($A48,tbl_Catalog[sku_id],tbl_Catalog[master_carton_qty])</f>
        <v>0</v>
      </c>
      <c r="U48" s="46">
        <f t="shared" si="11"/>
        <v>0</v>
      </c>
      <c r="V48" s="41">
        <f>IF(_xlfn.XLOOKUP($A48,tbl_Catalog[sku_id],tbl_Catalog[master_carton_qty])&gt;0,U48/_xlfn.XLOOKUP($A48,tbl_Catalog[sku_id],tbl_Catalog[master_carton_qty]),0)</f>
        <v>0</v>
      </c>
      <c r="W48" s="38">
        <f>V48*_xlfn.XLOOKUP($A48,tbl_Catalog[sku_id],tbl_Catalog[carton_volume_cbm])</f>
        <v>0</v>
      </c>
      <c r="X48" s="4" t="str">
        <f t="shared" si="12"/>
        <v>DEFERRED / NO PO</v>
      </c>
      <c r="Y48" s="4" t="str">
        <f>IF(U48=0,"N/A",IF(AND(MOD(U48,_xlfn.XLOOKUP($A48,tbl_Catalog[sku_id],tbl_Catalog[master_carton_qty]))=0,U48&gt;=_xlfn.XLOOKUP($A48,tbl_Catalog[sku_id],tbl_Catalog[sku_moq_units])),"MOQ OK","CHECK"))</f>
        <v>N/A</v>
      </c>
      <c r="Z48" s="4" t="str">
        <f t="shared" si="13"/>
        <v>N/A</v>
      </c>
      <c r="AA48" s="41">
        <v>0</v>
      </c>
      <c r="AB48" s="41">
        <v>0</v>
      </c>
      <c r="AC48" s="4" t="b">
        <v>0</v>
      </c>
    </row>
    <row r="49" spans="1:29" x14ac:dyDescent="0.3">
      <c r="A49" s="36" t="s">
        <v>319</v>
      </c>
      <c r="B49" s="16" t="s">
        <v>293</v>
      </c>
      <c r="C49" s="4" t="s">
        <v>188</v>
      </c>
      <c r="D49" s="41">
        <v>288</v>
      </c>
      <c r="E49" s="41">
        <v>0</v>
      </c>
      <c r="F49" s="42">
        <f>'03_FBA_Nivel1_Transfer'!E49+D49-E49</f>
        <v>288</v>
      </c>
      <c r="G49" s="39">
        <f>'02_Demand_Unconstraining'!R49</f>
        <v>0.61429999999999996</v>
      </c>
      <c r="H49" s="30">
        <f>'02_Demand_Unconstraining'!S49</f>
        <v>0.36080000000000001</v>
      </c>
      <c r="I49" s="29">
        <f>_xlfn.XLOOKUP($A49,tbl_Catalog[sku_id],tbl_Catalog[z_score])</f>
        <v>1.282</v>
      </c>
      <c r="J49" s="41">
        <f t="shared" si="7"/>
        <v>9</v>
      </c>
      <c r="K49" s="41">
        <f>'03_FBA_Nivel1_Transfer'!N49</f>
        <v>3</v>
      </c>
      <c r="L49" s="41">
        <f t="shared" si="8"/>
        <v>59</v>
      </c>
      <c r="M49" s="44">
        <f t="shared" si="9"/>
        <v>86</v>
      </c>
      <c r="N49" s="41">
        <f>_xlfn.CEILING.MATH(_xlfn.XLOOKUP($A49,tbl_Catalog[sku_id],tbl_Catalog[sku_moq_units])/_xlfn.XLOOKUP($A49,tbl_Catalog[sku_id],tbl_Catalog[master_carton_qty]),1)</f>
        <v>3</v>
      </c>
      <c r="O49" s="31">
        <f t="shared" si="10"/>
        <v>372.78202832492269</v>
      </c>
      <c r="P49" s="48">
        <f>_xlfn.LET(_xlpm.ip_sys,$F49,_xlpm.rop_sys,$L49,_xlpm.s_max,$M49,_xlpm.m_qty,_xlfn.XLOOKUP($A49,tbl_Catalog[sku_id],tbl_Catalog[master_carton_qty]),_xlpm.moq,_xlfn.XLOOKUP($A49,tbl_Catalog[sku_id],tbl_Catalog[sku_moq_units]),IF(_xlpm.ip_sys&lt;=_xlpm.rop_sys,_xlfn.CEILING.MATH(MAX(_xlpm.s_max-_xlpm.ip_sys,_xlpm.moq),_xlpm.m_qty),0))</f>
        <v>0</v>
      </c>
      <c r="Q49" s="30">
        <f>IF(P49&gt;0,(P49/_xlfn.XLOOKUP($A49,tbl_Catalog[sku_id],tbl_Catalog[master_carton_qty]))*_xlfn.XLOOKUP($A49,tbl_Catalog[sku_id],tbl_Catalog[carton_volume_cbm]),0)</f>
        <v>0</v>
      </c>
      <c r="R49" s="41">
        <v>0</v>
      </c>
      <c r="S49" s="41">
        <v>0</v>
      </c>
      <c r="T49" s="41">
        <f>S49*_xlfn.XLOOKUP($A49,tbl_Catalog[sku_id],tbl_Catalog[master_carton_qty])</f>
        <v>0</v>
      </c>
      <c r="U49" s="46">
        <f t="shared" si="11"/>
        <v>0</v>
      </c>
      <c r="V49" s="41">
        <f>IF(_xlfn.XLOOKUP($A49,tbl_Catalog[sku_id],tbl_Catalog[master_carton_qty])&gt;0,U49/_xlfn.XLOOKUP($A49,tbl_Catalog[sku_id],tbl_Catalog[master_carton_qty]),0)</f>
        <v>0</v>
      </c>
      <c r="W49" s="38">
        <f>V49*_xlfn.XLOOKUP($A49,tbl_Catalog[sku_id],tbl_Catalog[carton_volume_cbm])</f>
        <v>0</v>
      </c>
      <c r="X49" s="4" t="str">
        <f t="shared" si="12"/>
        <v>DEFERRED / NO PO</v>
      </c>
      <c r="Y49" s="4" t="str">
        <f>IF(U49=0,"N/A",IF(AND(MOD(U49,_xlfn.XLOOKUP($A49,tbl_Catalog[sku_id],tbl_Catalog[master_carton_qty]))=0,U49&gt;=_xlfn.XLOOKUP($A49,tbl_Catalog[sku_id],tbl_Catalog[sku_moq_units])),"MOQ OK","CHECK"))</f>
        <v>N/A</v>
      </c>
      <c r="Z49" s="4" t="str">
        <f t="shared" si="13"/>
        <v>N/A</v>
      </c>
      <c r="AA49" s="41">
        <v>0</v>
      </c>
      <c r="AB49" s="41">
        <v>0</v>
      </c>
      <c r="AC49" s="4" t="b">
        <v>0</v>
      </c>
    </row>
    <row r="50" spans="1:29" x14ac:dyDescent="0.3">
      <c r="A50" s="36" t="s">
        <v>322</v>
      </c>
      <c r="B50" s="16" t="s">
        <v>293</v>
      </c>
      <c r="C50" s="4" t="s">
        <v>188</v>
      </c>
      <c r="D50" s="41">
        <v>296</v>
      </c>
      <c r="E50" s="41">
        <v>0</v>
      </c>
      <c r="F50" s="42">
        <f>'03_FBA_Nivel1_Transfer'!E50+D50-E50</f>
        <v>296</v>
      </c>
      <c r="G50" s="39">
        <f>'02_Demand_Unconstraining'!R50</f>
        <v>0.23019999999999999</v>
      </c>
      <c r="H50" s="30">
        <f>'02_Demand_Unconstraining'!S50</f>
        <v>0.13569999999999999</v>
      </c>
      <c r="I50" s="29">
        <f>_xlfn.XLOOKUP($A50,tbl_Catalog[sku_id],tbl_Catalog[z_score])</f>
        <v>1.282</v>
      </c>
      <c r="J50" s="41">
        <f t="shared" si="7"/>
        <v>4</v>
      </c>
      <c r="K50" s="41">
        <f>'03_FBA_Nivel1_Transfer'!N50</f>
        <v>1</v>
      </c>
      <c r="L50" s="41">
        <f t="shared" si="8"/>
        <v>23</v>
      </c>
      <c r="M50" s="44">
        <f t="shared" si="9"/>
        <v>33</v>
      </c>
      <c r="N50" s="41">
        <f>_xlfn.CEILING.MATH(_xlfn.XLOOKUP($A50,tbl_Catalog[sku_id],tbl_Catalog[sku_moq_units])/_xlfn.XLOOKUP($A50,tbl_Catalog[sku_id],tbl_Catalog[master_carton_qty]),1)</f>
        <v>3</v>
      </c>
      <c r="O50" s="31">
        <f t="shared" si="10"/>
        <v>1185.9252823631625</v>
      </c>
      <c r="P50" s="48">
        <f>_xlfn.LET(_xlpm.ip_sys,$F50,_xlpm.rop_sys,$L50,_xlpm.s_max,$M50,_xlpm.m_qty,_xlfn.XLOOKUP($A50,tbl_Catalog[sku_id],tbl_Catalog[master_carton_qty]),_xlpm.moq,_xlfn.XLOOKUP($A50,tbl_Catalog[sku_id],tbl_Catalog[sku_moq_units]),IF(_xlpm.ip_sys&lt;=_xlpm.rop_sys,_xlfn.CEILING.MATH(MAX(_xlpm.s_max-_xlpm.ip_sys,_xlpm.moq),_xlpm.m_qty),0))</f>
        <v>0</v>
      </c>
      <c r="Q50" s="30">
        <f>IF(P50&gt;0,(P50/_xlfn.XLOOKUP($A50,tbl_Catalog[sku_id],tbl_Catalog[master_carton_qty]))*_xlfn.XLOOKUP($A50,tbl_Catalog[sku_id],tbl_Catalog[carton_volume_cbm]),0)</f>
        <v>0</v>
      </c>
      <c r="R50" s="41">
        <v>0</v>
      </c>
      <c r="S50" s="41">
        <v>0</v>
      </c>
      <c r="T50" s="41">
        <f>S50*_xlfn.XLOOKUP($A50,tbl_Catalog[sku_id],tbl_Catalog[master_carton_qty])</f>
        <v>0</v>
      </c>
      <c r="U50" s="46">
        <f t="shared" si="11"/>
        <v>0</v>
      </c>
      <c r="V50" s="41">
        <f>IF(_xlfn.XLOOKUP($A50,tbl_Catalog[sku_id],tbl_Catalog[master_carton_qty])&gt;0,U50/_xlfn.XLOOKUP($A50,tbl_Catalog[sku_id],tbl_Catalog[master_carton_qty]),0)</f>
        <v>0</v>
      </c>
      <c r="W50" s="38">
        <f>V50*_xlfn.XLOOKUP($A50,tbl_Catalog[sku_id],tbl_Catalog[carton_volume_cbm])</f>
        <v>0</v>
      </c>
      <c r="X50" s="4" t="str">
        <f t="shared" si="12"/>
        <v>DEFERRED / NO PO</v>
      </c>
      <c r="Y50" s="4" t="str">
        <f>IF(U50=0,"N/A",IF(AND(MOD(U50,_xlfn.XLOOKUP($A50,tbl_Catalog[sku_id],tbl_Catalog[master_carton_qty]))=0,U50&gt;=_xlfn.XLOOKUP($A50,tbl_Catalog[sku_id],tbl_Catalog[sku_moq_units])),"MOQ OK","CHECK"))</f>
        <v>N/A</v>
      </c>
      <c r="Z50" s="4" t="str">
        <f t="shared" si="13"/>
        <v>N/A</v>
      </c>
      <c r="AA50" s="41">
        <v>0</v>
      </c>
      <c r="AB50" s="41">
        <v>0</v>
      </c>
      <c r="AC50" s="4" t="b">
        <v>0</v>
      </c>
    </row>
    <row r="51" spans="1:29" x14ac:dyDescent="0.3">
      <c r="A51" s="36" t="s">
        <v>325</v>
      </c>
      <c r="B51" s="16" t="s">
        <v>293</v>
      </c>
      <c r="C51" s="4" t="s">
        <v>188</v>
      </c>
      <c r="D51" s="41">
        <v>100</v>
      </c>
      <c r="E51" s="41">
        <v>0</v>
      </c>
      <c r="F51" s="42">
        <f>'03_FBA_Nivel1_Transfer'!E51+D51-E51</f>
        <v>234</v>
      </c>
      <c r="G51" s="39">
        <f>'02_Demand_Unconstraining'!R51</f>
        <v>0.26669999999999999</v>
      </c>
      <c r="H51" s="30">
        <f>'02_Demand_Unconstraining'!S51</f>
        <v>0.26240000000000002</v>
      </c>
      <c r="I51" s="29">
        <f>_xlfn.XLOOKUP($A51,tbl_Catalog[sku_id],tbl_Catalog[z_score])</f>
        <v>1.282</v>
      </c>
      <c r="J51" s="41">
        <f t="shared" si="7"/>
        <v>5</v>
      </c>
      <c r="K51" s="41">
        <f>'03_FBA_Nivel1_Transfer'!N51</f>
        <v>2</v>
      </c>
      <c r="L51" s="41">
        <f t="shared" si="8"/>
        <v>28</v>
      </c>
      <c r="M51" s="44">
        <f t="shared" si="9"/>
        <v>40</v>
      </c>
      <c r="N51" s="41">
        <f>_xlfn.CEILING.MATH(_xlfn.XLOOKUP($A51,tbl_Catalog[sku_id],tbl_Catalog[sku_moq_units])/_xlfn.XLOOKUP($A51,tbl_Catalog[sku_id],tbl_Catalog[master_carton_qty]),1)</f>
        <v>3</v>
      </c>
      <c r="O51" s="31">
        <f t="shared" si="10"/>
        <v>772.40344956880392</v>
      </c>
      <c r="P51" s="48">
        <f>_xlfn.LET(_xlpm.ip_sys,$F51,_xlpm.rop_sys,$L51,_xlpm.s_max,$M51,_xlpm.m_qty,_xlfn.XLOOKUP($A51,tbl_Catalog[sku_id],tbl_Catalog[master_carton_qty]),_xlpm.moq,_xlfn.XLOOKUP($A51,tbl_Catalog[sku_id],tbl_Catalog[sku_moq_units]),IF(_xlpm.ip_sys&lt;=_xlpm.rop_sys,_xlfn.CEILING.MATH(MAX(_xlpm.s_max-_xlpm.ip_sys,_xlpm.moq),_xlpm.m_qty),0))</f>
        <v>0</v>
      </c>
      <c r="Q51" s="30">
        <f>IF(P51&gt;0,(P51/_xlfn.XLOOKUP($A51,tbl_Catalog[sku_id],tbl_Catalog[master_carton_qty]))*_xlfn.XLOOKUP($A51,tbl_Catalog[sku_id],tbl_Catalog[carton_volume_cbm]),0)</f>
        <v>0</v>
      </c>
      <c r="R51" s="41">
        <v>0</v>
      </c>
      <c r="S51" s="41">
        <v>0</v>
      </c>
      <c r="T51" s="41">
        <f>S51*_xlfn.XLOOKUP($A51,tbl_Catalog[sku_id],tbl_Catalog[master_carton_qty])</f>
        <v>0</v>
      </c>
      <c r="U51" s="46">
        <f t="shared" si="11"/>
        <v>0</v>
      </c>
      <c r="V51" s="41">
        <f>IF(_xlfn.XLOOKUP($A51,tbl_Catalog[sku_id],tbl_Catalog[master_carton_qty])&gt;0,U51/_xlfn.XLOOKUP($A51,tbl_Catalog[sku_id],tbl_Catalog[master_carton_qty]),0)</f>
        <v>0</v>
      </c>
      <c r="W51" s="38">
        <f>V51*_xlfn.XLOOKUP($A51,tbl_Catalog[sku_id],tbl_Catalog[carton_volume_cbm])</f>
        <v>0</v>
      </c>
      <c r="X51" s="4" t="str">
        <f t="shared" si="12"/>
        <v>DEFERRED / NO PO</v>
      </c>
      <c r="Y51" s="4" t="str">
        <f>IF(U51=0,"N/A",IF(AND(MOD(U51,_xlfn.XLOOKUP($A51,tbl_Catalog[sku_id],tbl_Catalog[master_carton_qty]))=0,U51&gt;=_xlfn.XLOOKUP($A51,tbl_Catalog[sku_id],tbl_Catalog[sku_moq_units])),"MOQ OK","CHECK"))</f>
        <v>N/A</v>
      </c>
      <c r="Z51" s="4" t="str">
        <f t="shared" si="13"/>
        <v>N/A</v>
      </c>
      <c r="AA51" s="41">
        <v>0</v>
      </c>
      <c r="AB51" s="41">
        <v>0</v>
      </c>
      <c r="AC51" s="4" t="b">
        <v>0</v>
      </c>
    </row>
    <row r="52" spans="1:29" x14ac:dyDescent="0.3">
      <c r="A52" s="36" t="s">
        <v>328</v>
      </c>
      <c r="B52" s="16" t="s">
        <v>293</v>
      </c>
      <c r="C52" s="4" t="s">
        <v>188</v>
      </c>
      <c r="D52" s="41">
        <v>302</v>
      </c>
      <c r="E52" s="41">
        <v>0</v>
      </c>
      <c r="F52" s="42">
        <f>'03_FBA_Nivel1_Transfer'!E52+D52-E52</f>
        <v>302</v>
      </c>
      <c r="G52" s="39">
        <f>'02_Demand_Unconstraining'!R52</f>
        <v>0.19350000000000001</v>
      </c>
      <c r="H52" s="30">
        <f>'02_Demand_Unconstraining'!S52</f>
        <v>0.122</v>
      </c>
      <c r="I52" s="29">
        <f>_xlfn.XLOOKUP($A52,tbl_Catalog[sku_id],tbl_Catalog[z_score])</f>
        <v>1.282</v>
      </c>
      <c r="J52" s="41">
        <f t="shared" si="7"/>
        <v>3</v>
      </c>
      <c r="K52" s="41">
        <f>'03_FBA_Nivel1_Transfer'!N52</f>
        <v>1</v>
      </c>
      <c r="L52" s="41">
        <f t="shared" si="8"/>
        <v>19</v>
      </c>
      <c r="M52" s="44">
        <f t="shared" si="9"/>
        <v>28</v>
      </c>
      <c r="N52" s="41">
        <f>_xlfn.CEILING.MATH(_xlfn.XLOOKUP($A52,tbl_Catalog[sku_id],tbl_Catalog[sku_moq_units])/_xlfn.XLOOKUP($A52,tbl_Catalog[sku_id],tbl_Catalog[master_carton_qty]),1)</f>
        <v>3</v>
      </c>
      <c r="O52" s="31">
        <f t="shared" si="10"/>
        <v>1462.5322997416019</v>
      </c>
      <c r="P52" s="48">
        <f>_xlfn.LET(_xlpm.ip_sys,$F52,_xlpm.rop_sys,$L52,_xlpm.s_max,$M52,_xlpm.m_qty,_xlfn.XLOOKUP($A52,tbl_Catalog[sku_id],tbl_Catalog[master_carton_qty]),_xlpm.moq,_xlfn.XLOOKUP($A52,tbl_Catalog[sku_id],tbl_Catalog[sku_moq_units]),IF(_xlpm.ip_sys&lt;=_xlpm.rop_sys,_xlfn.CEILING.MATH(MAX(_xlpm.s_max-_xlpm.ip_sys,_xlpm.moq),_xlpm.m_qty),0))</f>
        <v>0</v>
      </c>
      <c r="Q52" s="30">
        <f>IF(P52&gt;0,(P52/_xlfn.XLOOKUP($A52,tbl_Catalog[sku_id],tbl_Catalog[master_carton_qty]))*_xlfn.XLOOKUP($A52,tbl_Catalog[sku_id],tbl_Catalog[carton_volume_cbm]),0)</f>
        <v>0</v>
      </c>
      <c r="R52" s="41">
        <v>0</v>
      </c>
      <c r="S52" s="41">
        <v>0</v>
      </c>
      <c r="T52" s="41">
        <f>S52*_xlfn.XLOOKUP($A52,tbl_Catalog[sku_id],tbl_Catalog[master_carton_qty])</f>
        <v>0</v>
      </c>
      <c r="U52" s="46">
        <f t="shared" si="11"/>
        <v>0</v>
      </c>
      <c r="V52" s="41">
        <f>IF(_xlfn.XLOOKUP($A52,tbl_Catalog[sku_id],tbl_Catalog[master_carton_qty])&gt;0,U52/_xlfn.XLOOKUP($A52,tbl_Catalog[sku_id],tbl_Catalog[master_carton_qty]),0)</f>
        <v>0</v>
      </c>
      <c r="W52" s="38">
        <f>V52*_xlfn.XLOOKUP($A52,tbl_Catalog[sku_id],tbl_Catalog[carton_volume_cbm])</f>
        <v>0</v>
      </c>
      <c r="X52" s="4" t="str">
        <f t="shared" si="12"/>
        <v>DEFERRED / NO PO</v>
      </c>
      <c r="Y52" s="4" t="str">
        <f>IF(U52=0,"N/A",IF(AND(MOD(U52,_xlfn.XLOOKUP($A52,tbl_Catalog[sku_id],tbl_Catalog[master_carton_qty]))=0,U52&gt;=_xlfn.XLOOKUP($A52,tbl_Catalog[sku_id],tbl_Catalog[sku_moq_units])),"MOQ OK","CHECK"))</f>
        <v>N/A</v>
      </c>
      <c r="Z52" s="4" t="str">
        <f t="shared" si="13"/>
        <v>N/A</v>
      </c>
      <c r="AA52" s="41">
        <v>0</v>
      </c>
      <c r="AB52" s="41">
        <v>0</v>
      </c>
      <c r="AC52" s="4" t="b">
        <v>0</v>
      </c>
    </row>
    <row r="53" spans="1:29" x14ac:dyDescent="0.3">
      <c r="A53" s="36" t="s">
        <v>331</v>
      </c>
      <c r="B53" s="16" t="s">
        <v>293</v>
      </c>
      <c r="C53" s="4" t="s">
        <v>221</v>
      </c>
      <c r="D53" s="41">
        <v>3121</v>
      </c>
      <c r="E53" s="41">
        <v>0</v>
      </c>
      <c r="F53" s="42">
        <f>'03_FBA_Nivel1_Transfer'!E53+D53-E53</f>
        <v>3855</v>
      </c>
      <c r="G53" s="39">
        <f>'02_Demand_Unconstraining'!R53</f>
        <v>55.5</v>
      </c>
      <c r="H53" s="30">
        <f>'02_Demand_Unconstraining'!S53</f>
        <v>13.472</v>
      </c>
      <c r="I53" s="29">
        <f>_xlfn.XLOOKUP($A53,tbl_Catalog[sku_id],tbl_Catalog[z_score])</f>
        <v>2.0539999999999998</v>
      </c>
      <c r="J53" s="41">
        <f t="shared" si="7"/>
        <v>1165</v>
      </c>
      <c r="K53" s="41">
        <f>'03_FBA_Nivel1_Transfer'!N53</f>
        <v>1308</v>
      </c>
      <c r="L53" s="41">
        <f t="shared" si="8"/>
        <v>6636</v>
      </c>
      <c r="M53" s="44">
        <f t="shared" si="9"/>
        <v>9133</v>
      </c>
      <c r="N53" s="41">
        <f>_xlfn.CEILING.MATH(_xlfn.XLOOKUP($A53,tbl_Catalog[sku_id],tbl_Catalog[sku_moq_units])/_xlfn.XLOOKUP($A53,tbl_Catalog[sku_id],tbl_Catalog[master_carton_qty]),1)</f>
        <v>3</v>
      </c>
      <c r="O53" s="31">
        <f t="shared" si="10"/>
        <v>-50.108108108108105</v>
      </c>
      <c r="P53" s="48">
        <f>_xlfn.LET(_xlpm.ip_sys,$F53,_xlpm.rop_sys,$L53,_xlpm.s_max,$M53,_xlpm.m_qty,_xlfn.XLOOKUP($A53,tbl_Catalog[sku_id],tbl_Catalog[master_carton_qty]),_xlpm.moq,_xlfn.XLOOKUP($A53,tbl_Catalog[sku_id],tbl_Catalog[sku_moq_units]),IF(_xlpm.ip_sys&lt;=_xlpm.rop_sys,_xlfn.CEILING.MATH(MAX(_xlpm.s_max-_xlpm.ip_sys,_xlpm.moq),_xlpm.m_qty),0))</f>
        <v>5300</v>
      </c>
      <c r="Q53" s="30">
        <f>IF(P53&gt;0,(P53/_xlfn.XLOOKUP($A53,tbl_Catalog[sku_id],tbl_Catalog[master_carton_qty]))*_xlfn.XLOOKUP($A53,tbl_Catalog[sku_id],tbl_Catalog[carton_volume_cbm]),0)</f>
        <v>3.1799999999999997</v>
      </c>
      <c r="R53" s="41">
        <v>0</v>
      </c>
      <c r="S53" s="41">
        <v>31</v>
      </c>
      <c r="T53" s="41">
        <f>S53*_xlfn.XLOOKUP($A53,tbl_Catalog[sku_id],tbl_Catalog[master_carton_qty])</f>
        <v>3100</v>
      </c>
      <c r="U53" s="46">
        <f t="shared" si="11"/>
        <v>3100</v>
      </c>
      <c r="V53" s="41">
        <f>IF(_xlfn.XLOOKUP($A53,tbl_Catalog[sku_id],tbl_Catalog[master_carton_qty])&gt;0,U53/_xlfn.XLOOKUP($A53,tbl_Catalog[sku_id],tbl_Catalog[master_carton_qty]),0)</f>
        <v>31</v>
      </c>
      <c r="W53" s="38">
        <f>V53*_xlfn.XLOOKUP($A53,tbl_Catalog[sku_id],tbl_Catalog[carton_volume_cbm])</f>
        <v>1.8599999999999999</v>
      </c>
      <c r="X53" s="4" t="str">
        <f t="shared" si="12"/>
        <v>BASE + TIER-A TOP-UP</v>
      </c>
      <c r="Y53" s="4" t="str">
        <f>IF(U53=0,"N/A",IF(AND(MOD(U53,_xlfn.XLOOKUP($A53,tbl_Catalog[sku_id],tbl_Catalog[master_carton_qty]))=0,U53&gt;=_xlfn.XLOOKUP($A53,tbl_Catalog[sku_id],tbl_Catalog[sku_moq_units])),"MOQ OK","CHECK"))</f>
        <v>MOQ OK</v>
      </c>
      <c r="Z53" s="4" t="str">
        <f t="shared" si="13"/>
        <v>DOS OK</v>
      </c>
      <c r="AA53" s="41">
        <v>0</v>
      </c>
      <c r="AB53" s="41">
        <v>36</v>
      </c>
      <c r="AC53" s="4" t="b">
        <v>0</v>
      </c>
    </row>
    <row r="54" spans="1:29" x14ac:dyDescent="0.3">
      <c r="A54" s="36" t="s">
        <v>334</v>
      </c>
      <c r="B54" s="16" t="s">
        <v>293</v>
      </c>
      <c r="C54" s="4" t="s">
        <v>221</v>
      </c>
      <c r="D54" s="41">
        <v>0</v>
      </c>
      <c r="E54" s="41">
        <v>0</v>
      </c>
      <c r="F54" s="42">
        <f>'03_FBA_Nivel1_Transfer'!E54+D54-E54</f>
        <v>89</v>
      </c>
      <c r="G54" s="39">
        <f>'02_Demand_Unconstraining'!R54</f>
        <v>31.547499999999999</v>
      </c>
      <c r="H54" s="30">
        <f>'02_Demand_Unconstraining'!S54</f>
        <v>7.7195</v>
      </c>
      <c r="I54" s="29">
        <f>_xlfn.XLOOKUP($A54,tbl_Catalog[sku_id],tbl_Catalog[z_score])</f>
        <v>2.0539999999999998</v>
      </c>
      <c r="J54" s="41">
        <f t="shared" si="7"/>
        <v>663</v>
      </c>
      <c r="K54" s="41">
        <f>'03_FBA_Nivel1_Transfer'!N54</f>
        <v>713</v>
      </c>
      <c r="L54" s="41">
        <f t="shared" si="8"/>
        <v>3743</v>
      </c>
      <c r="M54" s="44">
        <f t="shared" si="9"/>
        <v>5162</v>
      </c>
      <c r="N54" s="41">
        <f>_xlfn.CEILING.MATH(_xlfn.XLOOKUP($A54,tbl_Catalog[sku_id],tbl_Catalog[sku_moq_units])/_xlfn.XLOOKUP($A54,tbl_Catalog[sku_id],tbl_Catalog[master_carton_qty]),1)</f>
        <v>3</v>
      </c>
      <c r="O54" s="31">
        <f t="shared" si="10"/>
        <v>-115.82534273714241</v>
      </c>
      <c r="P54" s="48">
        <f>_xlfn.LET(_xlpm.ip_sys,$F54,_xlpm.rop_sys,$L54,_xlpm.s_max,$M54,_xlpm.m_qty,_xlfn.XLOOKUP($A54,tbl_Catalog[sku_id],tbl_Catalog[master_carton_qty]),_xlpm.moq,_xlfn.XLOOKUP($A54,tbl_Catalog[sku_id],tbl_Catalog[sku_moq_units]),IF(_xlpm.ip_sys&lt;=_xlpm.rop_sys,_xlfn.CEILING.MATH(MAX(_xlpm.s_max-_xlpm.ip_sys,_xlpm.moq),_xlpm.m_qty),0))</f>
        <v>5100</v>
      </c>
      <c r="Q54" s="30">
        <f>IF(P54&gt;0,(P54/_xlfn.XLOOKUP($A54,tbl_Catalog[sku_id],tbl_Catalog[master_carton_qty]))*_xlfn.XLOOKUP($A54,tbl_Catalog[sku_id],tbl_Catalog[carton_volume_cbm]),0)</f>
        <v>3.06</v>
      </c>
      <c r="R54" s="41">
        <v>4100</v>
      </c>
      <c r="S54" s="41">
        <v>0</v>
      </c>
      <c r="T54" s="41">
        <f>S54*_xlfn.XLOOKUP($A54,tbl_Catalog[sku_id],tbl_Catalog[master_carton_qty])</f>
        <v>0</v>
      </c>
      <c r="U54" s="46">
        <f t="shared" si="11"/>
        <v>4100</v>
      </c>
      <c r="V54" s="41">
        <f>IF(_xlfn.XLOOKUP($A54,tbl_Catalog[sku_id],tbl_Catalog[master_carton_qty])&gt;0,U54/_xlfn.XLOOKUP($A54,tbl_Catalog[sku_id],tbl_Catalog[master_carton_qty]),0)</f>
        <v>41</v>
      </c>
      <c r="W54" s="38">
        <f>V54*_xlfn.XLOOKUP($A54,tbl_Catalog[sku_id],tbl_Catalog[carton_volume_cbm])</f>
        <v>2.46</v>
      </c>
      <c r="X54" s="4" t="str">
        <f t="shared" si="12"/>
        <v>BASE LOAD</v>
      </c>
      <c r="Y54" s="4" t="str">
        <f>IF(U54=0,"N/A",IF(AND(MOD(U54,_xlfn.XLOOKUP($A54,tbl_Catalog[sku_id],tbl_Catalog[master_carton_qty]))=0,U54&gt;=_xlfn.XLOOKUP($A54,tbl_Catalog[sku_id],tbl_Catalog[sku_moq_units])),"MOQ OK","CHECK"))</f>
        <v>MOQ OK</v>
      </c>
      <c r="Z54" s="4" t="str">
        <f t="shared" si="13"/>
        <v>DOS OK</v>
      </c>
      <c r="AA54" s="41">
        <v>1900</v>
      </c>
      <c r="AB54" s="41">
        <v>0</v>
      </c>
      <c r="AC54" s="4" t="b">
        <v>0</v>
      </c>
    </row>
    <row r="55" spans="1:29" x14ac:dyDescent="0.3">
      <c r="A55" s="36" t="s">
        <v>337</v>
      </c>
      <c r="B55" s="16" t="s">
        <v>293</v>
      </c>
      <c r="C55" s="4" t="s">
        <v>221</v>
      </c>
      <c r="D55" s="41">
        <v>781</v>
      </c>
      <c r="E55" s="41">
        <v>0</v>
      </c>
      <c r="F55" s="42">
        <f>'03_FBA_Nivel1_Transfer'!E55+D55-E55</f>
        <v>1614</v>
      </c>
      <c r="G55" s="39">
        <f>'02_Demand_Unconstraining'!R55</f>
        <v>47.533299999999997</v>
      </c>
      <c r="H55" s="30">
        <f>'02_Demand_Unconstraining'!S55</f>
        <v>11.5886</v>
      </c>
      <c r="I55" s="29">
        <f>_xlfn.XLOOKUP($A55,tbl_Catalog[sku_id],tbl_Catalog[z_score])</f>
        <v>2.0539999999999998</v>
      </c>
      <c r="J55" s="41">
        <f t="shared" si="7"/>
        <v>998</v>
      </c>
      <c r="K55" s="41">
        <f>'03_FBA_Nivel1_Transfer'!N55</f>
        <v>1066</v>
      </c>
      <c r="L55" s="41">
        <f t="shared" si="8"/>
        <v>5629</v>
      </c>
      <c r="M55" s="44">
        <f t="shared" si="9"/>
        <v>7768</v>
      </c>
      <c r="N55" s="41">
        <f>_xlfn.CEILING.MATH(_xlfn.XLOOKUP($A55,tbl_Catalog[sku_id],tbl_Catalog[sku_moq_units])/_xlfn.XLOOKUP($A55,tbl_Catalog[sku_id],tbl_Catalog[master_carton_qty]),1)</f>
        <v>3</v>
      </c>
      <c r="O55" s="31">
        <f t="shared" si="10"/>
        <v>-84.46709990680219</v>
      </c>
      <c r="P55" s="48">
        <f>_xlfn.LET(_xlpm.ip_sys,$F55,_xlpm.rop_sys,$L55,_xlpm.s_max,$M55,_xlpm.m_qty,_xlfn.XLOOKUP($A55,tbl_Catalog[sku_id],tbl_Catalog[master_carton_qty]),_xlpm.moq,_xlfn.XLOOKUP($A55,tbl_Catalog[sku_id],tbl_Catalog[sku_moq_units]),IF(_xlpm.ip_sys&lt;=_xlpm.rop_sys,_xlfn.CEILING.MATH(MAX(_xlpm.s_max-_xlpm.ip_sys,_xlpm.moq),_xlpm.m_qty),0))</f>
        <v>6200</v>
      </c>
      <c r="Q55" s="30">
        <f>IF(P55&gt;0,(P55/_xlfn.XLOOKUP($A55,tbl_Catalog[sku_id],tbl_Catalog[master_carton_qty]))*_xlfn.XLOOKUP($A55,tbl_Catalog[sku_id],tbl_Catalog[carton_volume_cbm]),0)</f>
        <v>3.7199999999999998</v>
      </c>
      <c r="R55" s="41">
        <v>0</v>
      </c>
      <c r="S55" s="41">
        <v>0</v>
      </c>
      <c r="T55" s="41">
        <f>S55*_xlfn.XLOOKUP($A55,tbl_Catalog[sku_id],tbl_Catalog[master_carton_qty])</f>
        <v>0</v>
      </c>
      <c r="U55" s="46">
        <f t="shared" si="11"/>
        <v>0</v>
      </c>
      <c r="V55" s="41">
        <f>IF(_xlfn.XLOOKUP($A55,tbl_Catalog[sku_id],tbl_Catalog[master_carton_qty])&gt;0,U55/_xlfn.XLOOKUP($A55,tbl_Catalog[sku_id],tbl_Catalog[master_carton_qty]),0)</f>
        <v>0</v>
      </c>
      <c r="W55" s="38">
        <f>V55*_xlfn.XLOOKUP($A55,tbl_Catalog[sku_id],tbl_Catalog[carton_volume_cbm])</f>
        <v>0</v>
      </c>
      <c r="X55" s="4" t="str">
        <f t="shared" si="12"/>
        <v>DEFERRED / NO PO</v>
      </c>
      <c r="Y55" s="4" t="str">
        <f>IF(U55=0,"N/A",IF(AND(MOD(U55,_xlfn.XLOOKUP($A55,tbl_Catalog[sku_id],tbl_Catalog[master_carton_qty]))=0,U55&gt;=_xlfn.XLOOKUP($A55,tbl_Catalog[sku_id],tbl_Catalog[sku_moq_units])),"MOQ OK","CHECK"))</f>
        <v>N/A</v>
      </c>
      <c r="Z55" s="4" t="str">
        <f t="shared" si="13"/>
        <v>N/A</v>
      </c>
      <c r="AA55" s="41">
        <v>0</v>
      </c>
      <c r="AB55" s="41">
        <v>48</v>
      </c>
      <c r="AC55" s="4" t="b">
        <v>0</v>
      </c>
    </row>
    <row r="56" spans="1:29" x14ac:dyDescent="0.3">
      <c r="A56" s="36" t="s">
        <v>340</v>
      </c>
      <c r="B56" s="16" t="s">
        <v>293</v>
      </c>
      <c r="C56" s="4" t="s">
        <v>172</v>
      </c>
      <c r="D56" s="41">
        <v>0</v>
      </c>
      <c r="E56" s="41">
        <v>0</v>
      </c>
      <c r="F56" s="42">
        <f>'03_FBA_Nivel1_Transfer'!E56+D56-E56</f>
        <v>876</v>
      </c>
      <c r="G56" s="39">
        <f>'02_Demand_Unconstraining'!R56</f>
        <v>23.898800000000001</v>
      </c>
      <c r="H56" s="30">
        <f>'02_Demand_Unconstraining'!S56</f>
        <v>7.8452000000000002</v>
      </c>
      <c r="I56" s="29">
        <f>_xlfn.XLOOKUP($A56,tbl_Catalog[sku_id],tbl_Catalog[z_score])</f>
        <v>1.881</v>
      </c>
      <c r="J56" s="41">
        <f t="shared" si="7"/>
        <v>468</v>
      </c>
      <c r="K56" s="41">
        <f>'03_FBA_Nivel1_Transfer'!N56</f>
        <v>530</v>
      </c>
      <c r="L56" s="41">
        <f t="shared" si="8"/>
        <v>2791</v>
      </c>
      <c r="M56" s="44">
        <f t="shared" si="9"/>
        <v>3866</v>
      </c>
      <c r="N56" s="41">
        <f>_xlfn.CEILING.MATH(_xlfn.XLOOKUP($A56,tbl_Catalog[sku_id],tbl_Catalog[sku_moq_units])/_xlfn.XLOOKUP($A56,tbl_Catalog[sku_id],tbl_Catalog[master_carton_qty]),1)</f>
        <v>3</v>
      </c>
      <c r="O56" s="31">
        <f t="shared" si="10"/>
        <v>-80.12954625336836</v>
      </c>
      <c r="P56" s="48">
        <f>_xlfn.LET(_xlpm.ip_sys,$F56,_xlpm.rop_sys,$L56,_xlpm.s_max,$M56,_xlpm.m_qty,_xlfn.XLOOKUP($A56,tbl_Catalog[sku_id],tbl_Catalog[master_carton_qty]),_xlpm.moq,_xlfn.XLOOKUP($A56,tbl_Catalog[sku_id],tbl_Catalog[sku_moq_units]),IF(_xlpm.ip_sys&lt;=_xlpm.rop_sys,_xlfn.CEILING.MATH(MAX(_xlpm.s_max-_xlpm.ip_sys,_xlpm.moq),_xlpm.m_qty),0))</f>
        <v>3000</v>
      </c>
      <c r="Q56" s="30">
        <f>IF(P56&gt;0,(P56/_xlfn.XLOOKUP($A56,tbl_Catalog[sku_id],tbl_Catalog[master_carton_qty]))*_xlfn.XLOOKUP($A56,tbl_Catalog[sku_id],tbl_Catalog[carton_volume_cbm]),0)</f>
        <v>1.7999999999999998</v>
      </c>
      <c r="R56" s="41">
        <v>0</v>
      </c>
      <c r="S56" s="41">
        <v>0</v>
      </c>
      <c r="T56" s="41">
        <f>S56*_xlfn.XLOOKUP($A56,tbl_Catalog[sku_id],tbl_Catalog[master_carton_qty])</f>
        <v>0</v>
      </c>
      <c r="U56" s="46">
        <f t="shared" si="11"/>
        <v>0</v>
      </c>
      <c r="V56" s="41">
        <f>IF(_xlfn.XLOOKUP($A56,tbl_Catalog[sku_id],tbl_Catalog[master_carton_qty])&gt;0,U56/_xlfn.XLOOKUP($A56,tbl_Catalog[sku_id],tbl_Catalog[master_carton_qty]),0)</f>
        <v>0</v>
      </c>
      <c r="W56" s="38">
        <f>V56*_xlfn.XLOOKUP($A56,tbl_Catalog[sku_id],tbl_Catalog[carton_volume_cbm])</f>
        <v>0</v>
      </c>
      <c r="X56" s="4" t="str">
        <f t="shared" si="12"/>
        <v>DEFERRED / NO PO</v>
      </c>
      <c r="Y56" s="4" t="str">
        <f>IF(U56=0,"N/A",IF(AND(MOD(U56,_xlfn.XLOOKUP($A56,tbl_Catalog[sku_id],tbl_Catalog[master_carton_qty]))=0,U56&gt;=_xlfn.XLOOKUP($A56,tbl_Catalog[sku_id],tbl_Catalog[sku_moq_units])),"MOQ OK","CHECK"))</f>
        <v>N/A</v>
      </c>
      <c r="Z56" s="4" t="str">
        <f t="shared" si="13"/>
        <v>N/A</v>
      </c>
      <c r="AA56" s="41">
        <v>1200</v>
      </c>
      <c r="AB56" s="41">
        <v>23</v>
      </c>
      <c r="AC56" s="4" t="b">
        <v>0</v>
      </c>
    </row>
    <row r="57" spans="1:29" x14ac:dyDescent="0.3">
      <c r="A57" s="36" t="s">
        <v>343</v>
      </c>
      <c r="B57" s="16" t="s">
        <v>293</v>
      </c>
      <c r="C57" s="4" t="s">
        <v>221</v>
      </c>
      <c r="D57" s="41">
        <v>0</v>
      </c>
      <c r="E57" s="41">
        <v>0</v>
      </c>
      <c r="F57" s="42">
        <f>'03_FBA_Nivel1_Transfer'!E57+D57-E57</f>
        <v>132</v>
      </c>
      <c r="G57" s="39">
        <f>'02_Demand_Unconstraining'!R57</f>
        <v>29.379300000000001</v>
      </c>
      <c r="H57" s="30">
        <f>'02_Demand_Unconstraining'!S57</f>
        <v>7.4020000000000001</v>
      </c>
      <c r="I57" s="29">
        <f>_xlfn.XLOOKUP($A57,tbl_Catalog[sku_id],tbl_Catalog[z_score])</f>
        <v>2.0539999999999998</v>
      </c>
      <c r="J57" s="41">
        <f t="shared" si="7"/>
        <v>618</v>
      </c>
      <c r="K57" s="41">
        <f>'03_FBA_Nivel1_Transfer'!N57</f>
        <v>729</v>
      </c>
      <c r="L57" s="41">
        <f t="shared" si="8"/>
        <v>3551</v>
      </c>
      <c r="M57" s="44">
        <f t="shared" si="9"/>
        <v>4873</v>
      </c>
      <c r="N57" s="41">
        <f>_xlfn.CEILING.MATH(_xlfn.XLOOKUP($A57,tbl_Catalog[sku_id],tbl_Catalog[sku_moq_units])/_xlfn.XLOOKUP($A57,tbl_Catalog[sku_id],tbl_Catalog[master_carton_qty]),1)</f>
        <v>3</v>
      </c>
      <c r="O57" s="31">
        <f t="shared" si="10"/>
        <v>-116.37445412246036</v>
      </c>
      <c r="P57" s="48">
        <f>_xlfn.LET(_xlpm.ip_sys,$F57,_xlpm.rop_sys,$L57,_xlpm.s_max,$M57,_xlpm.m_qty,_xlfn.XLOOKUP($A57,tbl_Catalog[sku_id],tbl_Catalog[master_carton_qty]),_xlpm.moq,_xlfn.XLOOKUP($A57,tbl_Catalog[sku_id],tbl_Catalog[sku_moq_units]),IF(_xlpm.ip_sys&lt;=_xlpm.rop_sys,_xlfn.CEILING.MATH(MAX(_xlpm.s_max-_xlpm.ip_sys,_xlpm.moq),_xlpm.m_qty),0))</f>
        <v>4800</v>
      </c>
      <c r="Q57" s="30">
        <f>IF(P57&gt;0,(P57/_xlfn.XLOOKUP($A57,tbl_Catalog[sku_id],tbl_Catalog[master_carton_qty]))*_xlfn.XLOOKUP($A57,tbl_Catalog[sku_id],tbl_Catalog[carton_volume_cbm]),0)</f>
        <v>2.88</v>
      </c>
      <c r="R57" s="41">
        <v>3800</v>
      </c>
      <c r="S57" s="41">
        <v>0</v>
      </c>
      <c r="T57" s="41">
        <f>S57*_xlfn.XLOOKUP($A57,tbl_Catalog[sku_id],tbl_Catalog[master_carton_qty])</f>
        <v>0</v>
      </c>
      <c r="U57" s="46">
        <f t="shared" si="11"/>
        <v>3800</v>
      </c>
      <c r="V57" s="41">
        <f>IF(_xlfn.XLOOKUP($A57,tbl_Catalog[sku_id],tbl_Catalog[master_carton_qty])&gt;0,U57/_xlfn.XLOOKUP($A57,tbl_Catalog[sku_id],tbl_Catalog[master_carton_qty]),0)</f>
        <v>38</v>
      </c>
      <c r="W57" s="38">
        <f>V57*_xlfn.XLOOKUP($A57,tbl_Catalog[sku_id],tbl_Catalog[carton_volume_cbm])</f>
        <v>2.2799999999999998</v>
      </c>
      <c r="X57" s="4" t="str">
        <f t="shared" si="12"/>
        <v>BASE LOAD</v>
      </c>
      <c r="Y57" s="4" t="str">
        <f>IF(U57=0,"N/A",IF(AND(MOD(U57,_xlfn.XLOOKUP($A57,tbl_Catalog[sku_id],tbl_Catalog[master_carton_qty]))=0,U57&gt;=_xlfn.XLOOKUP($A57,tbl_Catalog[sku_id],tbl_Catalog[sku_moq_units])),"MOQ OK","CHECK"))</f>
        <v>MOQ OK</v>
      </c>
      <c r="Z57" s="4" t="str">
        <f t="shared" si="13"/>
        <v>DOS OK</v>
      </c>
      <c r="AA57" s="41">
        <v>1100</v>
      </c>
      <c r="AB57" s="41">
        <v>0</v>
      </c>
      <c r="AC57" s="4" t="b">
        <v>0</v>
      </c>
    </row>
    <row r="58" spans="1:29" x14ac:dyDescent="0.3">
      <c r="A58" s="36" t="s">
        <v>346</v>
      </c>
      <c r="B58" s="16" t="s">
        <v>293</v>
      </c>
      <c r="C58" s="4" t="s">
        <v>184</v>
      </c>
      <c r="D58" s="41">
        <v>317</v>
      </c>
      <c r="E58" s="41">
        <v>0</v>
      </c>
      <c r="F58" s="42">
        <f>'03_FBA_Nivel1_Transfer'!E58+D58-E58</f>
        <v>317</v>
      </c>
      <c r="G58" s="39">
        <f>'02_Demand_Unconstraining'!R58</f>
        <v>2.7894000000000001</v>
      </c>
      <c r="H58" s="30">
        <f>'02_Demand_Unconstraining'!S58</f>
        <v>1.0464</v>
      </c>
      <c r="I58" s="29">
        <f>_xlfn.XLOOKUP($A58,tbl_Catalog[sku_id],tbl_Catalog[z_score])</f>
        <v>1.645</v>
      </c>
      <c r="J58" s="41">
        <f t="shared" si="7"/>
        <v>49</v>
      </c>
      <c r="K58" s="41">
        <f>'03_FBA_Nivel1_Transfer'!N58</f>
        <v>11</v>
      </c>
      <c r="L58" s="41">
        <f t="shared" si="8"/>
        <v>270</v>
      </c>
      <c r="M58" s="44">
        <f t="shared" si="9"/>
        <v>395</v>
      </c>
      <c r="N58" s="41">
        <f>_xlfn.CEILING.MATH(_xlfn.XLOOKUP($A58,tbl_Catalog[sku_id],tbl_Catalog[sku_moq_units])/_xlfn.XLOOKUP($A58,tbl_Catalog[sku_id],tbl_Catalog[master_carton_qty]),1)</f>
        <v>3</v>
      </c>
      <c r="O58" s="31">
        <f t="shared" si="10"/>
        <v>16.84950168495017</v>
      </c>
      <c r="P58" s="48">
        <f>_xlfn.LET(_xlpm.ip_sys,$F58,_xlpm.rop_sys,$L58,_xlpm.s_max,$M58,_xlpm.m_qty,_xlfn.XLOOKUP($A58,tbl_Catalog[sku_id],tbl_Catalog[master_carton_qty]),_xlpm.moq,_xlfn.XLOOKUP($A58,tbl_Catalog[sku_id],tbl_Catalog[sku_moq_units]),IF(_xlpm.ip_sys&lt;=_xlpm.rop_sys,_xlfn.CEILING.MATH(MAX(_xlpm.s_max-_xlpm.ip_sys,_xlpm.moq),_xlpm.m_qty),0))</f>
        <v>0</v>
      </c>
      <c r="Q58" s="30">
        <f>IF(P58&gt;0,(P58/_xlfn.XLOOKUP($A58,tbl_Catalog[sku_id],tbl_Catalog[master_carton_qty]))*_xlfn.XLOOKUP($A58,tbl_Catalog[sku_id],tbl_Catalog[carton_volume_cbm]),0)</f>
        <v>0</v>
      </c>
      <c r="R58" s="41">
        <v>0</v>
      </c>
      <c r="S58" s="41">
        <v>0</v>
      </c>
      <c r="T58" s="41">
        <f>S58*_xlfn.XLOOKUP($A58,tbl_Catalog[sku_id],tbl_Catalog[master_carton_qty])</f>
        <v>0</v>
      </c>
      <c r="U58" s="46">
        <f t="shared" si="11"/>
        <v>0</v>
      </c>
      <c r="V58" s="41">
        <f>IF(_xlfn.XLOOKUP($A58,tbl_Catalog[sku_id],tbl_Catalog[master_carton_qty])&gt;0,U58/_xlfn.XLOOKUP($A58,tbl_Catalog[sku_id],tbl_Catalog[master_carton_qty]),0)</f>
        <v>0</v>
      </c>
      <c r="W58" s="38">
        <f>V58*_xlfn.XLOOKUP($A58,tbl_Catalog[sku_id],tbl_Catalog[carton_volume_cbm])</f>
        <v>0</v>
      </c>
      <c r="X58" s="4" t="str">
        <f t="shared" si="12"/>
        <v>DEFERRED / NO PO</v>
      </c>
      <c r="Y58" s="4" t="str">
        <f>IF(U58=0,"N/A",IF(AND(MOD(U58,_xlfn.XLOOKUP($A58,tbl_Catalog[sku_id],tbl_Catalog[master_carton_qty]))=0,U58&gt;=_xlfn.XLOOKUP($A58,tbl_Catalog[sku_id],tbl_Catalog[sku_moq_units])),"MOQ OK","CHECK"))</f>
        <v>N/A</v>
      </c>
      <c r="Z58" s="4" t="str">
        <f t="shared" si="13"/>
        <v>N/A</v>
      </c>
      <c r="AA58" s="41">
        <v>0</v>
      </c>
      <c r="AB58" s="41">
        <v>0</v>
      </c>
      <c r="AC58" s="4" t="b">
        <v>0</v>
      </c>
    </row>
    <row r="59" spans="1:29" x14ac:dyDescent="0.3">
      <c r="A59" s="36" t="s">
        <v>349</v>
      </c>
      <c r="B59" s="16" t="s">
        <v>293</v>
      </c>
      <c r="C59" s="4" t="s">
        <v>172</v>
      </c>
      <c r="D59" s="41">
        <v>140</v>
      </c>
      <c r="E59" s="41">
        <v>0</v>
      </c>
      <c r="F59" s="42">
        <f>'03_FBA_Nivel1_Transfer'!E59+D59-E59</f>
        <v>1235</v>
      </c>
      <c r="G59" s="39">
        <f>'02_Demand_Unconstraining'!R59</f>
        <v>21.421199999999999</v>
      </c>
      <c r="H59" s="30">
        <f>'02_Demand_Unconstraining'!S59</f>
        <v>7.4271000000000003</v>
      </c>
      <c r="I59" s="29">
        <f>_xlfn.XLOOKUP($A59,tbl_Catalog[sku_id],tbl_Catalog[z_score])</f>
        <v>1.881</v>
      </c>
      <c r="J59" s="41">
        <f t="shared" si="7"/>
        <v>421</v>
      </c>
      <c r="K59" s="41">
        <f>'03_FBA_Nivel1_Transfer'!N59</f>
        <v>511</v>
      </c>
      <c r="L59" s="41">
        <f t="shared" si="8"/>
        <v>2539</v>
      </c>
      <c r="M59" s="44">
        <f t="shared" si="9"/>
        <v>3503</v>
      </c>
      <c r="N59" s="41">
        <f>_xlfn.CEILING.MATH(_xlfn.XLOOKUP($A59,tbl_Catalog[sku_id],tbl_Catalog[sku_moq_units])/_xlfn.XLOOKUP($A59,tbl_Catalog[sku_id],tbl_Catalog[master_carton_qty]),1)</f>
        <v>3</v>
      </c>
      <c r="O59" s="31">
        <f t="shared" si="10"/>
        <v>-60.874274083618104</v>
      </c>
      <c r="P59" s="48">
        <f>_xlfn.LET(_xlpm.ip_sys,$F59,_xlpm.rop_sys,$L59,_xlpm.s_max,$M59,_xlpm.m_qty,_xlfn.XLOOKUP($A59,tbl_Catalog[sku_id],tbl_Catalog[master_carton_qty]),_xlpm.moq,_xlfn.XLOOKUP($A59,tbl_Catalog[sku_id],tbl_Catalog[sku_moq_units]),IF(_xlpm.ip_sys&lt;=_xlpm.rop_sys,_xlfn.CEILING.MATH(MAX(_xlpm.s_max-_xlpm.ip_sys,_xlpm.moq),_xlpm.m_qty),0))</f>
        <v>2300</v>
      </c>
      <c r="Q59" s="30">
        <f>IF(P59&gt;0,(P59/_xlfn.XLOOKUP($A59,tbl_Catalog[sku_id],tbl_Catalog[master_carton_qty]))*_xlfn.XLOOKUP($A59,tbl_Catalog[sku_id],tbl_Catalog[carton_volume_cbm]),0)</f>
        <v>1.38</v>
      </c>
      <c r="R59" s="41">
        <v>0</v>
      </c>
      <c r="S59" s="41">
        <v>0</v>
      </c>
      <c r="T59" s="41">
        <f>S59*_xlfn.XLOOKUP($A59,tbl_Catalog[sku_id],tbl_Catalog[master_carton_qty])</f>
        <v>0</v>
      </c>
      <c r="U59" s="46">
        <f t="shared" si="11"/>
        <v>0</v>
      </c>
      <c r="V59" s="41">
        <f>IF(_xlfn.XLOOKUP($A59,tbl_Catalog[sku_id],tbl_Catalog[master_carton_qty])&gt;0,U59/_xlfn.XLOOKUP($A59,tbl_Catalog[sku_id],tbl_Catalog[master_carton_qty]),0)</f>
        <v>0</v>
      </c>
      <c r="W59" s="38">
        <f>V59*_xlfn.XLOOKUP($A59,tbl_Catalog[sku_id],tbl_Catalog[carton_volume_cbm])</f>
        <v>0</v>
      </c>
      <c r="X59" s="4" t="str">
        <f t="shared" si="12"/>
        <v>DEFERRED / NO PO</v>
      </c>
      <c r="Y59" s="4" t="str">
        <f>IF(U59=0,"N/A",IF(AND(MOD(U59,_xlfn.XLOOKUP($A59,tbl_Catalog[sku_id],tbl_Catalog[master_carton_qty]))=0,U59&gt;=_xlfn.XLOOKUP($A59,tbl_Catalog[sku_id],tbl_Catalog[sku_moq_units])),"MOQ OK","CHECK"))</f>
        <v>N/A</v>
      </c>
      <c r="Z59" s="4" t="str">
        <f t="shared" si="13"/>
        <v>N/A</v>
      </c>
      <c r="AA59" s="41">
        <v>1000</v>
      </c>
      <c r="AB59" s="41">
        <v>16</v>
      </c>
      <c r="AC59" s="4" t="b">
        <v>0</v>
      </c>
    </row>
    <row r="60" spans="1:29" x14ac:dyDescent="0.3">
      <c r="A60" s="36" t="s">
        <v>352</v>
      </c>
      <c r="B60" s="16" t="s">
        <v>293</v>
      </c>
      <c r="C60" s="4" t="s">
        <v>179</v>
      </c>
      <c r="D60" s="41">
        <v>253</v>
      </c>
      <c r="E60" s="41">
        <v>0</v>
      </c>
      <c r="F60" s="42">
        <f>'03_FBA_Nivel1_Transfer'!E60+D60-E60</f>
        <v>253</v>
      </c>
      <c r="G60" s="39">
        <f>'02_Demand_Unconstraining'!R60</f>
        <v>2.2033</v>
      </c>
      <c r="H60" s="30">
        <f>'02_Demand_Unconstraining'!S60</f>
        <v>0.82679999999999998</v>
      </c>
      <c r="I60" s="29">
        <f>_xlfn.XLOOKUP($A60,tbl_Catalog[sku_id],tbl_Catalog[z_score])</f>
        <v>1.645</v>
      </c>
      <c r="J60" s="41">
        <f t="shared" si="7"/>
        <v>39</v>
      </c>
      <c r="K60" s="41">
        <f>'03_FBA_Nivel1_Transfer'!N60</f>
        <v>9</v>
      </c>
      <c r="L60" s="41">
        <f t="shared" si="8"/>
        <v>214</v>
      </c>
      <c r="M60" s="44">
        <f t="shared" si="9"/>
        <v>313</v>
      </c>
      <c r="N60" s="41">
        <f>_xlfn.CEILING.MATH(_xlfn.XLOOKUP($A60,tbl_Catalog[sku_id],tbl_Catalog[sku_moq_units])/_xlfn.XLOOKUP($A60,tbl_Catalog[sku_id],tbl_Catalog[master_carton_qty]),1)</f>
        <v>3</v>
      </c>
      <c r="O60" s="31">
        <f t="shared" si="10"/>
        <v>17.700721644805519</v>
      </c>
      <c r="P60" s="48">
        <f>_xlfn.LET(_xlpm.ip_sys,$F60,_xlpm.rop_sys,$L60,_xlpm.s_max,$M60,_xlpm.m_qty,_xlfn.XLOOKUP($A60,tbl_Catalog[sku_id],tbl_Catalog[master_carton_qty]),_xlpm.moq,_xlfn.XLOOKUP($A60,tbl_Catalog[sku_id],tbl_Catalog[sku_moq_units]),IF(_xlpm.ip_sys&lt;=_xlpm.rop_sys,_xlfn.CEILING.MATH(MAX(_xlpm.s_max-_xlpm.ip_sys,_xlpm.moq),_xlpm.m_qty),0))</f>
        <v>0</v>
      </c>
      <c r="Q60" s="30">
        <f>IF(P60&gt;0,(P60/_xlfn.XLOOKUP($A60,tbl_Catalog[sku_id],tbl_Catalog[master_carton_qty]))*_xlfn.XLOOKUP($A60,tbl_Catalog[sku_id],tbl_Catalog[carton_volume_cbm]),0)</f>
        <v>0</v>
      </c>
      <c r="R60" s="41">
        <v>0</v>
      </c>
      <c r="S60" s="41">
        <v>0</v>
      </c>
      <c r="T60" s="41">
        <f>S60*_xlfn.XLOOKUP($A60,tbl_Catalog[sku_id],tbl_Catalog[master_carton_qty])</f>
        <v>0</v>
      </c>
      <c r="U60" s="46">
        <f t="shared" si="11"/>
        <v>0</v>
      </c>
      <c r="V60" s="41">
        <f>IF(_xlfn.XLOOKUP($A60,tbl_Catalog[sku_id],tbl_Catalog[master_carton_qty])&gt;0,U60/_xlfn.XLOOKUP($A60,tbl_Catalog[sku_id],tbl_Catalog[master_carton_qty]),0)</f>
        <v>0</v>
      </c>
      <c r="W60" s="38">
        <f>V60*_xlfn.XLOOKUP($A60,tbl_Catalog[sku_id],tbl_Catalog[carton_volume_cbm])</f>
        <v>0</v>
      </c>
      <c r="X60" s="4" t="str">
        <f t="shared" si="12"/>
        <v>DEFERRED / NO PO</v>
      </c>
      <c r="Y60" s="4" t="str">
        <f>IF(U60=0,"N/A",IF(AND(MOD(U60,_xlfn.XLOOKUP($A60,tbl_Catalog[sku_id],tbl_Catalog[master_carton_qty]))=0,U60&gt;=_xlfn.XLOOKUP($A60,tbl_Catalog[sku_id],tbl_Catalog[sku_moq_units])),"MOQ OK","CHECK"))</f>
        <v>N/A</v>
      </c>
      <c r="Z60" s="4" t="str">
        <f t="shared" si="13"/>
        <v>N/A</v>
      </c>
      <c r="AA60" s="41">
        <v>0</v>
      </c>
      <c r="AB60" s="41">
        <v>0</v>
      </c>
      <c r="AC60" s="4" t="b">
        <v>0</v>
      </c>
    </row>
    <row r="61" spans="1:29" x14ac:dyDescent="0.3">
      <c r="A61" s="36" t="s">
        <v>355</v>
      </c>
      <c r="B61" s="16" t="s">
        <v>293</v>
      </c>
      <c r="C61" s="4" t="s">
        <v>184</v>
      </c>
      <c r="D61" s="41">
        <v>192</v>
      </c>
      <c r="E61" s="41">
        <v>0</v>
      </c>
      <c r="F61" s="42">
        <f>'03_FBA_Nivel1_Transfer'!E61+D61-E61</f>
        <v>278</v>
      </c>
      <c r="G61" s="39">
        <f>'02_Demand_Unconstraining'!R61</f>
        <v>2.8576999999999999</v>
      </c>
      <c r="H61" s="30">
        <f>'02_Demand_Unconstraining'!S61</f>
        <v>1.0946</v>
      </c>
      <c r="I61" s="29">
        <f>_xlfn.XLOOKUP($A61,tbl_Catalog[sku_id],tbl_Catalog[z_score])</f>
        <v>1.645</v>
      </c>
      <c r="J61" s="41">
        <f t="shared" si="7"/>
        <v>50</v>
      </c>
      <c r="K61" s="41">
        <f>'03_FBA_Nivel1_Transfer'!N61</f>
        <v>12</v>
      </c>
      <c r="L61" s="41">
        <f t="shared" si="8"/>
        <v>277</v>
      </c>
      <c r="M61" s="44">
        <f t="shared" si="9"/>
        <v>405</v>
      </c>
      <c r="N61" s="41">
        <f>_xlfn.CEILING.MATH(_xlfn.XLOOKUP($A61,tbl_Catalog[sku_id],tbl_Catalog[sku_moq_units])/_xlfn.XLOOKUP($A61,tbl_Catalog[sku_id],tbl_Catalog[master_carton_qty]),1)</f>
        <v>3</v>
      </c>
      <c r="O61" s="31">
        <f t="shared" si="10"/>
        <v>0.34993176330615533</v>
      </c>
      <c r="P61" s="48">
        <f>_xlfn.LET(_xlpm.ip_sys,$F61,_xlpm.rop_sys,$L61,_xlpm.s_max,$M61,_xlpm.m_qty,_xlfn.XLOOKUP($A61,tbl_Catalog[sku_id],tbl_Catalog[master_carton_qty]),_xlpm.moq,_xlfn.XLOOKUP($A61,tbl_Catalog[sku_id],tbl_Catalog[sku_moq_units]),IF(_xlpm.ip_sys&lt;=_xlpm.rop_sys,_xlfn.CEILING.MATH(MAX(_xlpm.s_max-_xlpm.ip_sys,_xlpm.moq),_xlpm.m_qty),0))</f>
        <v>0</v>
      </c>
      <c r="Q61" s="30">
        <f>IF(P61&gt;0,(P61/_xlfn.XLOOKUP($A61,tbl_Catalog[sku_id],tbl_Catalog[master_carton_qty]))*_xlfn.XLOOKUP($A61,tbl_Catalog[sku_id],tbl_Catalog[carton_volume_cbm]),0)</f>
        <v>0</v>
      </c>
      <c r="R61" s="41">
        <v>0</v>
      </c>
      <c r="S61" s="41">
        <v>0</v>
      </c>
      <c r="T61" s="41">
        <f>S61*_xlfn.XLOOKUP($A61,tbl_Catalog[sku_id],tbl_Catalog[master_carton_qty])</f>
        <v>0</v>
      </c>
      <c r="U61" s="46">
        <f t="shared" si="11"/>
        <v>0</v>
      </c>
      <c r="V61" s="41">
        <f>IF(_xlfn.XLOOKUP($A61,tbl_Catalog[sku_id],tbl_Catalog[master_carton_qty])&gt;0,U61/_xlfn.XLOOKUP($A61,tbl_Catalog[sku_id],tbl_Catalog[master_carton_qty]),0)</f>
        <v>0</v>
      </c>
      <c r="W61" s="38">
        <f>V61*_xlfn.XLOOKUP($A61,tbl_Catalog[sku_id],tbl_Catalog[carton_volume_cbm])</f>
        <v>0</v>
      </c>
      <c r="X61" s="4" t="str">
        <f t="shared" si="12"/>
        <v>DEFERRED / NO PO</v>
      </c>
      <c r="Y61" s="4" t="str">
        <f>IF(U61=0,"N/A",IF(AND(MOD(U61,_xlfn.XLOOKUP($A61,tbl_Catalog[sku_id],tbl_Catalog[master_carton_qty]))=0,U61&gt;=_xlfn.XLOOKUP($A61,tbl_Catalog[sku_id],tbl_Catalog[sku_moq_units])),"MOQ OK","CHECK"))</f>
        <v>N/A</v>
      </c>
      <c r="Z61" s="4" t="str">
        <f t="shared" si="13"/>
        <v>N/A</v>
      </c>
      <c r="AA61" s="41">
        <v>0</v>
      </c>
      <c r="AB61" s="41">
        <v>0</v>
      </c>
      <c r="AC61" s="4" t="b">
        <v>0</v>
      </c>
    </row>
    <row r="62" spans="1:29" x14ac:dyDescent="0.3">
      <c r="A62" s="36" t="s">
        <v>358</v>
      </c>
      <c r="B62" s="16" t="s">
        <v>293</v>
      </c>
      <c r="C62" s="4" t="s">
        <v>188</v>
      </c>
      <c r="D62" s="41">
        <v>188</v>
      </c>
      <c r="E62" s="41">
        <v>0</v>
      </c>
      <c r="F62" s="42">
        <f>'03_FBA_Nivel1_Transfer'!E62+D62-E62</f>
        <v>188</v>
      </c>
      <c r="G62" s="39">
        <f>'02_Demand_Unconstraining'!R62</f>
        <v>1.1067</v>
      </c>
      <c r="H62" s="30">
        <f>'02_Demand_Unconstraining'!S62</f>
        <v>0.69020000000000004</v>
      </c>
      <c r="I62" s="29">
        <f>_xlfn.XLOOKUP($A62,tbl_Catalog[sku_id],tbl_Catalog[z_score])</f>
        <v>1.282</v>
      </c>
      <c r="J62" s="41">
        <f t="shared" si="7"/>
        <v>17</v>
      </c>
      <c r="K62" s="41">
        <f>'03_FBA_Nivel1_Transfer'!N62</f>
        <v>4</v>
      </c>
      <c r="L62" s="41">
        <f t="shared" si="8"/>
        <v>105</v>
      </c>
      <c r="M62" s="44">
        <f t="shared" si="9"/>
        <v>154</v>
      </c>
      <c r="N62" s="41">
        <f>_xlfn.CEILING.MATH(_xlfn.XLOOKUP($A62,tbl_Catalog[sku_id],tbl_Catalog[sku_moq_units])/_xlfn.XLOOKUP($A62,tbl_Catalog[sku_id],tbl_Catalog[master_carton_qty]),1)</f>
        <v>3</v>
      </c>
      <c r="O62" s="31">
        <f t="shared" si="10"/>
        <v>74.997741031896624</v>
      </c>
      <c r="P62" s="48">
        <f>_xlfn.LET(_xlpm.ip_sys,$F62,_xlpm.rop_sys,$L62,_xlpm.s_max,$M62,_xlpm.m_qty,_xlfn.XLOOKUP($A62,tbl_Catalog[sku_id],tbl_Catalog[master_carton_qty]),_xlpm.moq,_xlfn.XLOOKUP($A62,tbl_Catalog[sku_id],tbl_Catalog[sku_moq_units]),IF(_xlpm.ip_sys&lt;=_xlpm.rop_sys,_xlfn.CEILING.MATH(MAX(_xlpm.s_max-_xlpm.ip_sys,_xlpm.moq),_xlpm.m_qty),0))</f>
        <v>0</v>
      </c>
      <c r="Q62" s="30">
        <f>IF(P62&gt;0,(P62/_xlfn.XLOOKUP($A62,tbl_Catalog[sku_id],tbl_Catalog[master_carton_qty]))*_xlfn.XLOOKUP($A62,tbl_Catalog[sku_id],tbl_Catalog[carton_volume_cbm]),0)</f>
        <v>0</v>
      </c>
      <c r="R62" s="41">
        <v>0</v>
      </c>
      <c r="S62" s="41">
        <v>0</v>
      </c>
      <c r="T62" s="41">
        <f>S62*_xlfn.XLOOKUP($A62,tbl_Catalog[sku_id],tbl_Catalog[master_carton_qty])</f>
        <v>0</v>
      </c>
      <c r="U62" s="46">
        <f t="shared" si="11"/>
        <v>0</v>
      </c>
      <c r="V62" s="41">
        <f>IF(_xlfn.XLOOKUP($A62,tbl_Catalog[sku_id],tbl_Catalog[master_carton_qty])&gt;0,U62/_xlfn.XLOOKUP($A62,tbl_Catalog[sku_id],tbl_Catalog[master_carton_qty]),0)</f>
        <v>0</v>
      </c>
      <c r="W62" s="38">
        <f>V62*_xlfn.XLOOKUP($A62,tbl_Catalog[sku_id],tbl_Catalog[carton_volume_cbm])</f>
        <v>0</v>
      </c>
      <c r="X62" s="4" t="str">
        <f t="shared" si="12"/>
        <v>DEFERRED / NO PO</v>
      </c>
      <c r="Y62" s="4" t="str">
        <f>IF(U62=0,"N/A",IF(AND(MOD(U62,_xlfn.XLOOKUP($A62,tbl_Catalog[sku_id],tbl_Catalog[master_carton_qty]))=0,U62&gt;=_xlfn.XLOOKUP($A62,tbl_Catalog[sku_id],tbl_Catalog[sku_moq_units])),"MOQ OK","CHECK"))</f>
        <v>N/A</v>
      </c>
      <c r="Z62" s="4" t="str">
        <f t="shared" si="13"/>
        <v>N/A</v>
      </c>
      <c r="AA62" s="41">
        <v>0</v>
      </c>
      <c r="AB62" s="41">
        <v>0</v>
      </c>
      <c r="AC62" s="4" t="b">
        <v>0</v>
      </c>
    </row>
    <row r="63" spans="1:29" x14ac:dyDescent="0.3">
      <c r="A63" s="36" t="s">
        <v>361</v>
      </c>
      <c r="B63" s="16" t="s">
        <v>293</v>
      </c>
      <c r="C63" s="4" t="s">
        <v>179</v>
      </c>
      <c r="D63" s="41">
        <v>34</v>
      </c>
      <c r="E63" s="41">
        <v>0</v>
      </c>
      <c r="F63" s="42">
        <f>'03_FBA_Nivel1_Transfer'!E63+D63-E63</f>
        <v>183</v>
      </c>
      <c r="G63" s="39">
        <f>'02_Demand_Unconstraining'!R63</f>
        <v>2.1</v>
      </c>
      <c r="H63" s="30">
        <f>'02_Demand_Unconstraining'!S63</f>
        <v>1.0986</v>
      </c>
      <c r="I63" s="29">
        <f>_xlfn.XLOOKUP($A63,tbl_Catalog[sku_id],tbl_Catalog[z_score])</f>
        <v>1.645</v>
      </c>
      <c r="J63" s="41">
        <f t="shared" si="7"/>
        <v>38</v>
      </c>
      <c r="K63" s="41">
        <f>'03_FBA_Nivel1_Transfer'!N63</f>
        <v>10</v>
      </c>
      <c r="L63" s="41">
        <f t="shared" si="8"/>
        <v>206</v>
      </c>
      <c r="M63" s="44">
        <f t="shared" si="9"/>
        <v>300</v>
      </c>
      <c r="N63" s="41">
        <f>_xlfn.CEILING.MATH(_xlfn.XLOOKUP($A63,tbl_Catalog[sku_id],tbl_Catalog[sku_moq_units])/_xlfn.XLOOKUP($A63,tbl_Catalog[sku_id],tbl_Catalog[master_carton_qty]),1)</f>
        <v>3</v>
      </c>
      <c r="O63" s="31">
        <f t="shared" si="10"/>
        <v>-10.952380952380953</v>
      </c>
      <c r="P63" s="48">
        <f>_xlfn.LET(_xlpm.ip_sys,$F63,_xlpm.rop_sys,$L63,_xlpm.s_max,$M63,_xlpm.m_qty,_xlfn.XLOOKUP($A63,tbl_Catalog[sku_id],tbl_Catalog[master_carton_qty]),_xlpm.moq,_xlfn.XLOOKUP($A63,tbl_Catalog[sku_id],tbl_Catalog[sku_moq_units]),IF(_xlpm.ip_sys&lt;=_xlpm.rop_sys,_xlfn.CEILING.MATH(MAX(_xlpm.s_max-_xlpm.ip_sys,_xlpm.moq),_xlpm.m_qty),0))</f>
        <v>300</v>
      </c>
      <c r="Q63" s="30">
        <f>IF(P63&gt;0,(P63/_xlfn.XLOOKUP($A63,tbl_Catalog[sku_id],tbl_Catalog[master_carton_qty]))*_xlfn.XLOOKUP($A63,tbl_Catalog[sku_id],tbl_Catalog[carton_volume_cbm]),0)</f>
        <v>0.18</v>
      </c>
      <c r="R63" s="41">
        <v>0</v>
      </c>
      <c r="S63" s="41">
        <v>0</v>
      </c>
      <c r="T63" s="41">
        <f>S63*_xlfn.XLOOKUP($A63,tbl_Catalog[sku_id],tbl_Catalog[master_carton_qty])</f>
        <v>0</v>
      </c>
      <c r="U63" s="46">
        <f t="shared" si="11"/>
        <v>0</v>
      </c>
      <c r="V63" s="41">
        <f>IF(_xlfn.XLOOKUP($A63,tbl_Catalog[sku_id],tbl_Catalog[master_carton_qty])&gt;0,U63/_xlfn.XLOOKUP($A63,tbl_Catalog[sku_id],tbl_Catalog[master_carton_qty]),0)</f>
        <v>0</v>
      </c>
      <c r="W63" s="38">
        <f>V63*_xlfn.XLOOKUP($A63,tbl_Catalog[sku_id],tbl_Catalog[carton_volume_cbm])</f>
        <v>0</v>
      </c>
      <c r="X63" s="4" t="str">
        <f t="shared" si="12"/>
        <v>DEFERRED / NO PO</v>
      </c>
      <c r="Y63" s="4" t="str">
        <f>IF(U63=0,"N/A",IF(AND(MOD(U63,_xlfn.XLOOKUP($A63,tbl_Catalog[sku_id],tbl_Catalog[master_carton_qty]))=0,U63&gt;=_xlfn.XLOOKUP($A63,tbl_Catalog[sku_id],tbl_Catalog[sku_moq_units])),"MOQ OK","CHECK"))</f>
        <v>N/A</v>
      </c>
      <c r="Z63" s="4" t="str">
        <f t="shared" si="13"/>
        <v>N/A</v>
      </c>
      <c r="AA63" s="41">
        <v>300</v>
      </c>
      <c r="AB63" s="41">
        <v>3</v>
      </c>
      <c r="AC63" s="4" t="b">
        <v>0</v>
      </c>
    </row>
    <row r="64" spans="1:29" x14ac:dyDescent="0.3">
      <c r="A64" s="36" t="s">
        <v>364</v>
      </c>
      <c r="B64" s="16" t="s">
        <v>293</v>
      </c>
      <c r="C64" s="4" t="s">
        <v>188</v>
      </c>
      <c r="D64" s="41">
        <v>291</v>
      </c>
      <c r="E64" s="41">
        <v>0</v>
      </c>
      <c r="F64" s="42">
        <f>'03_FBA_Nivel1_Transfer'!E64+D64-E64</f>
        <v>291</v>
      </c>
      <c r="G64" s="39">
        <f>'02_Demand_Unconstraining'!R64</f>
        <v>0.8458</v>
      </c>
      <c r="H64" s="30">
        <f>'02_Demand_Unconstraining'!S64</f>
        <v>0.50770000000000004</v>
      </c>
      <c r="I64" s="29">
        <f>_xlfn.XLOOKUP($A64,tbl_Catalog[sku_id],tbl_Catalog[z_score])</f>
        <v>1.282</v>
      </c>
      <c r="J64" s="41">
        <f t="shared" si="7"/>
        <v>13</v>
      </c>
      <c r="K64" s="41">
        <f>'03_FBA_Nivel1_Transfer'!N64</f>
        <v>4</v>
      </c>
      <c r="L64" s="41">
        <f t="shared" si="8"/>
        <v>81</v>
      </c>
      <c r="M64" s="44">
        <f t="shared" si="9"/>
        <v>119</v>
      </c>
      <c r="N64" s="41">
        <f>_xlfn.CEILING.MATH(_xlfn.XLOOKUP($A64,tbl_Catalog[sku_id],tbl_Catalog[sku_moq_units])/_xlfn.XLOOKUP($A64,tbl_Catalog[sku_id],tbl_Catalog[master_carton_qty]),1)</f>
        <v>3</v>
      </c>
      <c r="O64" s="31">
        <f t="shared" si="10"/>
        <v>248.28564672499408</v>
      </c>
      <c r="P64" s="48">
        <f>_xlfn.LET(_xlpm.ip_sys,$F64,_xlpm.rop_sys,$L64,_xlpm.s_max,$M64,_xlpm.m_qty,_xlfn.XLOOKUP($A64,tbl_Catalog[sku_id],tbl_Catalog[master_carton_qty]),_xlpm.moq,_xlfn.XLOOKUP($A64,tbl_Catalog[sku_id],tbl_Catalog[sku_moq_units]),IF(_xlpm.ip_sys&lt;=_xlpm.rop_sys,_xlfn.CEILING.MATH(MAX(_xlpm.s_max-_xlpm.ip_sys,_xlpm.moq),_xlpm.m_qty),0))</f>
        <v>0</v>
      </c>
      <c r="Q64" s="30">
        <f>IF(P64&gt;0,(P64/_xlfn.XLOOKUP($A64,tbl_Catalog[sku_id],tbl_Catalog[master_carton_qty]))*_xlfn.XLOOKUP($A64,tbl_Catalog[sku_id],tbl_Catalog[carton_volume_cbm]),0)</f>
        <v>0</v>
      </c>
      <c r="R64" s="41">
        <v>0</v>
      </c>
      <c r="S64" s="41">
        <v>0</v>
      </c>
      <c r="T64" s="41">
        <f>S64*_xlfn.XLOOKUP($A64,tbl_Catalog[sku_id],tbl_Catalog[master_carton_qty])</f>
        <v>0</v>
      </c>
      <c r="U64" s="46">
        <f t="shared" si="11"/>
        <v>0</v>
      </c>
      <c r="V64" s="41">
        <f>IF(_xlfn.XLOOKUP($A64,tbl_Catalog[sku_id],tbl_Catalog[master_carton_qty])&gt;0,U64/_xlfn.XLOOKUP($A64,tbl_Catalog[sku_id],tbl_Catalog[master_carton_qty]),0)</f>
        <v>0</v>
      </c>
      <c r="W64" s="38">
        <f>V64*_xlfn.XLOOKUP($A64,tbl_Catalog[sku_id],tbl_Catalog[carton_volume_cbm])</f>
        <v>0</v>
      </c>
      <c r="X64" s="4" t="str">
        <f t="shared" si="12"/>
        <v>DEFERRED / NO PO</v>
      </c>
      <c r="Y64" s="4" t="str">
        <f>IF(U64=0,"N/A",IF(AND(MOD(U64,_xlfn.XLOOKUP($A64,tbl_Catalog[sku_id],tbl_Catalog[master_carton_qty]))=0,U64&gt;=_xlfn.XLOOKUP($A64,tbl_Catalog[sku_id],tbl_Catalog[sku_moq_units])),"MOQ OK","CHECK"))</f>
        <v>N/A</v>
      </c>
      <c r="Z64" s="4" t="str">
        <f t="shared" si="13"/>
        <v>N/A</v>
      </c>
      <c r="AA64" s="41">
        <v>0</v>
      </c>
      <c r="AB64" s="41">
        <v>0</v>
      </c>
      <c r="AC64" s="4" t="b">
        <v>0</v>
      </c>
    </row>
    <row r="65" spans="1:29" x14ac:dyDescent="0.3">
      <c r="A65" s="36" t="s">
        <v>367</v>
      </c>
      <c r="B65" s="16" t="s">
        <v>293</v>
      </c>
      <c r="C65" s="4" t="s">
        <v>221</v>
      </c>
      <c r="D65" s="41">
        <v>0</v>
      </c>
      <c r="E65" s="41">
        <v>0</v>
      </c>
      <c r="F65" s="42">
        <f>'03_FBA_Nivel1_Transfer'!E65+D65-E65</f>
        <v>1483</v>
      </c>
      <c r="G65" s="39">
        <f>'02_Demand_Unconstraining'!R65</f>
        <v>49.856499999999997</v>
      </c>
      <c r="H65" s="30">
        <f>'02_Demand_Unconstraining'!S65</f>
        <v>12.4048</v>
      </c>
      <c r="I65" s="29">
        <f>_xlfn.XLOOKUP($A65,tbl_Catalog[sku_id],tbl_Catalog[z_score])</f>
        <v>2.0539999999999998</v>
      </c>
      <c r="J65" s="41">
        <f t="shared" si="7"/>
        <v>1048</v>
      </c>
      <c r="K65" s="41">
        <f>'03_FBA_Nivel1_Transfer'!N65</f>
        <v>1163</v>
      </c>
      <c r="L65" s="41">
        <f t="shared" si="8"/>
        <v>5951</v>
      </c>
      <c r="M65" s="44">
        <f t="shared" si="9"/>
        <v>8194</v>
      </c>
      <c r="N65" s="41">
        <f>_xlfn.CEILING.MATH(_xlfn.XLOOKUP($A65,tbl_Catalog[sku_id],tbl_Catalog[sku_moq_units])/_xlfn.XLOOKUP($A65,tbl_Catalog[sku_id],tbl_Catalog[master_carton_qty]),1)</f>
        <v>3</v>
      </c>
      <c r="O65" s="31">
        <f t="shared" si="10"/>
        <v>-89.617201367925958</v>
      </c>
      <c r="P65" s="48">
        <f>_xlfn.LET(_xlpm.ip_sys,$F65,_xlpm.rop_sys,$L65,_xlpm.s_max,$M65,_xlpm.m_qty,_xlfn.XLOOKUP($A65,tbl_Catalog[sku_id],tbl_Catalog[master_carton_qty]),_xlpm.moq,_xlfn.XLOOKUP($A65,tbl_Catalog[sku_id],tbl_Catalog[sku_moq_units]),IF(_xlpm.ip_sys&lt;=_xlpm.rop_sys,_xlfn.CEILING.MATH(MAX(_xlpm.s_max-_xlpm.ip_sys,_xlpm.moq),_xlpm.m_qty),0))</f>
        <v>6800</v>
      </c>
      <c r="Q65" s="30">
        <f>IF(P65&gt;0,(P65/_xlfn.XLOOKUP($A65,tbl_Catalog[sku_id],tbl_Catalog[master_carton_qty]))*_xlfn.XLOOKUP($A65,tbl_Catalog[sku_id],tbl_Catalog[carton_volume_cbm]),0)</f>
        <v>4.08</v>
      </c>
      <c r="R65" s="41">
        <v>0</v>
      </c>
      <c r="S65" s="41">
        <v>0</v>
      </c>
      <c r="T65" s="41">
        <f>S65*_xlfn.XLOOKUP($A65,tbl_Catalog[sku_id],tbl_Catalog[master_carton_qty])</f>
        <v>0</v>
      </c>
      <c r="U65" s="46">
        <f t="shared" si="11"/>
        <v>0</v>
      </c>
      <c r="V65" s="41">
        <f>IF(_xlfn.XLOOKUP($A65,tbl_Catalog[sku_id],tbl_Catalog[master_carton_qty])&gt;0,U65/_xlfn.XLOOKUP($A65,tbl_Catalog[sku_id],tbl_Catalog[master_carton_qty]),0)</f>
        <v>0</v>
      </c>
      <c r="W65" s="38">
        <f>V65*_xlfn.XLOOKUP($A65,tbl_Catalog[sku_id],tbl_Catalog[carton_volume_cbm])</f>
        <v>0</v>
      </c>
      <c r="X65" s="4" t="str">
        <f t="shared" si="12"/>
        <v>DEFERRED / NO PO</v>
      </c>
      <c r="Y65" s="4" t="str">
        <f>IF(U65=0,"N/A",IF(AND(MOD(U65,_xlfn.XLOOKUP($A65,tbl_Catalog[sku_id],tbl_Catalog[master_carton_qty]))=0,U65&gt;=_xlfn.XLOOKUP($A65,tbl_Catalog[sku_id],tbl_Catalog[sku_moq_units])),"MOQ OK","CHECK"))</f>
        <v>N/A</v>
      </c>
      <c r="Z65" s="4" t="str">
        <f t="shared" si="13"/>
        <v>N/A</v>
      </c>
      <c r="AA65" s="41">
        <v>2900</v>
      </c>
      <c r="AB65" s="41">
        <v>52</v>
      </c>
      <c r="AC65" s="4" t="b">
        <v>0</v>
      </c>
    </row>
    <row r="66" spans="1:29" x14ac:dyDescent="0.3">
      <c r="A66" s="36" t="s">
        <v>370</v>
      </c>
      <c r="B66" s="16" t="s">
        <v>293</v>
      </c>
      <c r="C66" s="4" t="s">
        <v>172</v>
      </c>
      <c r="D66" s="41">
        <v>0</v>
      </c>
      <c r="E66" s="41">
        <v>0</v>
      </c>
      <c r="F66" s="42">
        <f>'03_FBA_Nivel1_Transfer'!E66+D66-E66</f>
        <v>578</v>
      </c>
      <c r="G66" s="39">
        <f>'02_Demand_Unconstraining'!R66</f>
        <v>27.941500000000001</v>
      </c>
      <c r="H66" s="30">
        <f>'02_Demand_Unconstraining'!S66</f>
        <v>9.0749999999999993</v>
      </c>
      <c r="I66" s="29">
        <f>_xlfn.XLOOKUP($A66,tbl_Catalog[sku_id],tbl_Catalog[z_score])</f>
        <v>1.881</v>
      </c>
      <c r="J66" s="41">
        <f t="shared" si="7"/>
        <v>546</v>
      </c>
      <c r="K66" s="41">
        <f>'03_FBA_Nivel1_Transfer'!N66</f>
        <v>637</v>
      </c>
      <c r="L66" s="41">
        <f t="shared" si="8"/>
        <v>3279</v>
      </c>
      <c r="M66" s="44">
        <f t="shared" si="9"/>
        <v>4536</v>
      </c>
      <c r="N66" s="41">
        <f>_xlfn.CEILING.MATH(_xlfn.XLOOKUP($A66,tbl_Catalog[sku_id],tbl_Catalog[sku_moq_units])/_xlfn.XLOOKUP($A66,tbl_Catalog[sku_id],tbl_Catalog[master_carton_qty]),1)</f>
        <v>3</v>
      </c>
      <c r="O66" s="31">
        <f t="shared" si="10"/>
        <v>-96.666249127641677</v>
      </c>
      <c r="P66" s="48">
        <f>_xlfn.LET(_xlpm.ip_sys,$F66,_xlpm.rop_sys,$L66,_xlpm.s_max,$M66,_xlpm.m_qty,_xlfn.XLOOKUP($A66,tbl_Catalog[sku_id],tbl_Catalog[master_carton_qty]),_xlpm.moq,_xlfn.XLOOKUP($A66,tbl_Catalog[sku_id],tbl_Catalog[sku_moq_units]),IF(_xlpm.ip_sys&lt;=_xlpm.rop_sys,_xlfn.CEILING.MATH(MAX(_xlpm.s_max-_xlpm.ip_sys,_xlpm.moq),_xlpm.m_qty),0))</f>
        <v>4000</v>
      </c>
      <c r="Q66" s="30">
        <f>IF(P66&gt;0,(P66/_xlfn.XLOOKUP($A66,tbl_Catalog[sku_id],tbl_Catalog[master_carton_qty]))*_xlfn.XLOOKUP($A66,tbl_Catalog[sku_id],tbl_Catalog[carton_volume_cbm]),0)</f>
        <v>2.4</v>
      </c>
      <c r="R66" s="41">
        <v>0</v>
      </c>
      <c r="S66" s="41">
        <v>0</v>
      </c>
      <c r="T66" s="41">
        <f>S66*_xlfn.XLOOKUP($A66,tbl_Catalog[sku_id],tbl_Catalog[master_carton_qty])</f>
        <v>0</v>
      </c>
      <c r="U66" s="46">
        <f t="shared" si="11"/>
        <v>0</v>
      </c>
      <c r="V66" s="41">
        <f>IF(_xlfn.XLOOKUP($A66,tbl_Catalog[sku_id],tbl_Catalog[master_carton_qty])&gt;0,U66/_xlfn.XLOOKUP($A66,tbl_Catalog[sku_id],tbl_Catalog[master_carton_qty]),0)</f>
        <v>0</v>
      </c>
      <c r="W66" s="38">
        <f>V66*_xlfn.XLOOKUP($A66,tbl_Catalog[sku_id],tbl_Catalog[carton_volume_cbm])</f>
        <v>0</v>
      </c>
      <c r="X66" s="4" t="str">
        <f t="shared" si="12"/>
        <v>DEFERRED / NO PO</v>
      </c>
      <c r="Y66" s="4" t="str">
        <f>IF(U66=0,"N/A",IF(AND(MOD(U66,_xlfn.XLOOKUP($A66,tbl_Catalog[sku_id],tbl_Catalog[master_carton_qty]))=0,U66&gt;=_xlfn.XLOOKUP($A66,tbl_Catalog[sku_id],tbl_Catalog[sku_moq_units])),"MOQ OK","CHECK"))</f>
        <v>N/A</v>
      </c>
      <c r="Z66" s="4" t="str">
        <f t="shared" si="13"/>
        <v>N/A</v>
      </c>
      <c r="AA66" s="41">
        <v>1000</v>
      </c>
      <c r="AB66" s="41">
        <v>31</v>
      </c>
      <c r="AC66" s="4" t="b">
        <v>0</v>
      </c>
    </row>
    <row r="67" spans="1:29" x14ac:dyDescent="0.3">
      <c r="A67" s="36" t="s">
        <v>373</v>
      </c>
      <c r="B67" s="16" t="s">
        <v>293</v>
      </c>
      <c r="C67" s="4" t="s">
        <v>221</v>
      </c>
      <c r="D67" s="41">
        <v>0</v>
      </c>
      <c r="E67" s="41">
        <v>0</v>
      </c>
      <c r="F67" s="42">
        <f>'03_FBA_Nivel1_Transfer'!E67+D67-E67</f>
        <v>1162</v>
      </c>
      <c r="G67" s="39">
        <f>'02_Demand_Unconstraining'!R67</f>
        <v>32.410699999999999</v>
      </c>
      <c r="H67" s="30">
        <f>'02_Demand_Unconstraining'!S67</f>
        <v>7.4396000000000004</v>
      </c>
      <c r="I67" s="29">
        <f>_xlfn.XLOOKUP($A67,tbl_Catalog[sku_id],tbl_Catalog[z_score])</f>
        <v>2.0539999999999998</v>
      </c>
      <c r="J67" s="41">
        <f t="shared" si="7"/>
        <v>679</v>
      </c>
      <c r="K67" s="41">
        <f>'03_FBA_Nivel1_Transfer'!N67</f>
        <v>701</v>
      </c>
      <c r="L67" s="41">
        <f t="shared" si="8"/>
        <v>3811</v>
      </c>
      <c r="M67" s="44">
        <f t="shared" si="9"/>
        <v>5270</v>
      </c>
      <c r="N67" s="41">
        <f>_xlfn.CEILING.MATH(_xlfn.XLOOKUP($A67,tbl_Catalog[sku_id],tbl_Catalog[sku_moq_units])/_xlfn.XLOOKUP($A67,tbl_Catalog[sku_id],tbl_Catalog[master_carton_qty]),1)</f>
        <v>3</v>
      </c>
      <c r="O67" s="31">
        <f t="shared" si="10"/>
        <v>-81.732267430200523</v>
      </c>
      <c r="P67" s="48">
        <f>_xlfn.LET(_xlpm.ip_sys,$F67,_xlpm.rop_sys,$L67,_xlpm.s_max,$M67,_xlpm.m_qty,_xlfn.XLOOKUP($A67,tbl_Catalog[sku_id],tbl_Catalog[master_carton_qty]),_xlpm.moq,_xlfn.XLOOKUP($A67,tbl_Catalog[sku_id],tbl_Catalog[sku_moq_units]),IF(_xlpm.ip_sys&lt;=_xlpm.rop_sys,_xlfn.CEILING.MATH(MAX(_xlpm.s_max-_xlpm.ip_sys,_xlpm.moq),_xlpm.m_qty),0))</f>
        <v>4200</v>
      </c>
      <c r="Q67" s="30">
        <f>IF(P67&gt;0,(P67/_xlfn.XLOOKUP($A67,tbl_Catalog[sku_id],tbl_Catalog[master_carton_qty]))*_xlfn.XLOOKUP($A67,tbl_Catalog[sku_id],tbl_Catalog[carton_volume_cbm]),0)</f>
        <v>2.52</v>
      </c>
      <c r="R67" s="41">
        <v>0</v>
      </c>
      <c r="S67" s="41">
        <v>0</v>
      </c>
      <c r="T67" s="41">
        <f>S67*_xlfn.XLOOKUP($A67,tbl_Catalog[sku_id],tbl_Catalog[master_carton_qty])</f>
        <v>0</v>
      </c>
      <c r="U67" s="46">
        <f t="shared" si="11"/>
        <v>0</v>
      </c>
      <c r="V67" s="41">
        <f>IF(_xlfn.XLOOKUP($A67,tbl_Catalog[sku_id],tbl_Catalog[master_carton_qty])&gt;0,U67/_xlfn.XLOOKUP($A67,tbl_Catalog[sku_id],tbl_Catalog[master_carton_qty]),0)</f>
        <v>0</v>
      </c>
      <c r="W67" s="38">
        <f>V67*_xlfn.XLOOKUP($A67,tbl_Catalog[sku_id],tbl_Catalog[carton_volume_cbm])</f>
        <v>0</v>
      </c>
      <c r="X67" s="4" t="str">
        <f t="shared" si="12"/>
        <v>DEFERRED / NO PO</v>
      </c>
      <c r="Y67" s="4" t="str">
        <f>IF(U67=0,"N/A",IF(AND(MOD(U67,_xlfn.XLOOKUP($A67,tbl_Catalog[sku_id],tbl_Catalog[master_carton_qty]))=0,U67&gt;=_xlfn.XLOOKUP($A67,tbl_Catalog[sku_id],tbl_Catalog[sku_moq_units])),"MOQ OK","CHECK"))</f>
        <v>N/A</v>
      </c>
      <c r="Z67" s="4" t="str">
        <f t="shared" si="13"/>
        <v>N/A</v>
      </c>
      <c r="AA67" s="41">
        <v>1600</v>
      </c>
      <c r="AB67" s="41">
        <v>32</v>
      </c>
      <c r="AC67" s="4" t="b">
        <v>0</v>
      </c>
    </row>
    <row r="68" spans="1:29" x14ac:dyDescent="0.3">
      <c r="A68" s="36" t="s">
        <v>376</v>
      </c>
      <c r="B68" s="16" t="s">
        <v>293</v>
      </c>
      <c r="C68" s="4" t="s">
        <v>184</v>
      </c>
      <c r="D68" s="41">
        <v>34</v>
      </c>
      <c r="E68" s="41">
        <v>0</v>
      </c>
      <c r="F68" s="42">
        <f>'03_FBA_Nivel1_Transfer'!E68+D68-E68</f>
        <v>34</v>
      </c>
      <c r="G68" s="39">
        <f>'02_Demand_Unconstraining'!R68</f>
        <v>2.8334999999999999</v>
      </c>
      <c r="H68" s="30">
        <f>'02_Demand_Unconstraining'!S68</f>
        <v>1.1123000000000001</v>
      </c>
      <c r="I68" s="29">
        <f>_xlfn.XLOOKUP($A68,tbl_Catalog[sku_id],tbl_Catalog[z_score])</f>
        <v>1.645</v>
      </c>
      <c r="J68" s="41">
        <f t="shared" si="7"/>
        <v>50</v>
      </c>
      <c r="K68" s="41">
        <f>'03_FBA_Nivel1_Transfer'!N68</f>
        <v>13</v>
      </c>
      <c r="L68" s="41">
        <f t="shared" si="8"/>
        <v>276</v>
      </c>
      <c r="M68" s="44">
        <f t="shared" si="9"/>
        <v>404</v>
      </c>
      <c r="N68" s="41">
        <f>_xlfn.CEILING.MATH(_xlfn.XLOOKUP($A68,tbl_Catalog[sku_id],tbl_Catalog[sku_moq_units])/_xlfn.XLOOKUP($A68,tbl_Catalog[sku_id],tbl_Catalog[master_carton_qty]),1)</f>
        <v>3</v>
      </c>
      <c r="O68" s="31">
        <f t="shared" si="10"/>
        <v>-85.40674077995412</v>
      </c>
      <c r="P68" s="48">
        <f>_xlfn.LET(_xlpm.ip_sys,$F68,_xlpm.rop_sys,$L68,_xlpm.s_max,$M68,_xlpm.m_qty,_xlfn.XLOOKUP($A68,tbl_Catalog[sku_id],tbl_Catalog[master_carton_qty]),_xlpm.moq,_xlfn.XLOOKUP($A68,tbl_Catalog[sku_id],tbl_Catalog[sku_moq_units]),IF(_xlpm.ip_sys&lt;=_xlpm.rop_sys,_xlfn.CEILING.MATH(MAX(_xlpm.s_max-_xlpm.ip_sys,_xlpm.moq),_xlpm.m_qty),0))</f>
        <v>400</v>
      </c>
      <c r="Q68" s="30">
        <f>IF(P68&gt;0,(P68/_xlfn.XLOOKUP($A68,tbl_Catalog[sku_id],tbl_Catalog[master_carton_qty]))*_xlfn.XLOOKUP($A68,tbl_Catalog[sku_id],tbl_Catalog[carton_volume_cbm]),0)</f>
        <v>0.24</v>
      </c>
      <c r="R68" s="41">
        <v>300</v>
      </c>
      <c r="S68" s="41">
        <v>0</v>
      </c>
      <c r="T68" s="41">
        <f>S68*_xlfn.XLOOKUP($A68,tbl_Catalog[sku_id],tbl_Catalog[master_carton_qty])</f>
        <v>0</v>
      </c>
      <c r="U68" s="46">
        <f t="shared" si="11"/>
        <v>300</v>
      </c>
      <c r="V68" s="41">
        <f>IF(_xlfn.XLOOKUP($A68,tbl_Catalog[sku_id],tbl_Catalog[master_carton_qty])&gt;0,U68/_xlfn.XLOOKUP($A68,tbl_Catalog[sku_id],tbl_Catalog[master_carton_qty]),0)</f>
        <v>3</v>
      </c>
      <c r="W68" s="38">
        <f>V68*_xlfn.XLOOKUP($A68,tbl_Catalog[sku_id],tbl_Catalog[carton_volume_cbm])</f>
        <v>0.18</v>
      </c>
      <c r="X68" s="4" t="str">
        <f t="shared" si="12"/>
        <v>BASE LOAD</v>
      </c>
      <c r="Y68" s="4" t="str">
        <f>IF(U68=0,"N/A",IF(AND(MOD(U68,_xlfn.XLOOKUP($A68,tbl_Catalog[sku_id],tbl_Catalog[master_carton_qty]))=0,U68&gt;=_xlfn.XLOOKUP($A68,tbl_Catalog[sku_id],tbl_Catalog[sku_moq_units])),"MOQ OK","CHECK"))</f>
        <v>MOQ OK</v>
      </c>
      <c r="Z68" s="4" t="str">
        <f t="shared" si="13"/>
        <v>DOS OK</v>
      </c>
      <c r="AA68" s="41">
        <v>300</v>
      </c>
      <c r="AB68" s="41">
        <v>0</v>
      </c>
      <c r="AC68" s="4" t="b">
        <v>0</v>
      </c>
    </row>
    <row r="69" spans="1:29" x14ac:dyDescent="0.3">
      <c r="A69" s="36" t="s">
        <v>379</v>
      </c>
      <c r="B69" s="16" t="s">
        <v>293</v>
      </c>
      <c r="C69" s="4" t="s">
        <v>172</v>
      </c>
      <c r="D69" s="41">
        <v>791</v>
      </c>
      <c r="E69" s="41">
        <v>0</v>
      </c>
      <c r="F69" s="42">
        <f>'03_FBA_Nivel1_Transfer'!E69+D69-E69</f>
        <v>1093</v>
      </c>
      <c r="G69" s="39">
        <f>'02_Demand_Unconstraining'!R69</f>
        <v>21.5777</v>
      </c>
      <c r="H69" s="30">
        <f>'02_Demand_Unconstraining'!S69</f>
        <v>6.5635000000000003</v>
      </c>
      <c r="I69" s="29">
        <f>_xlfn.XLOOKUP($A69,tbl_Catalog[sku_id],tbl_Catalog[z_score])</f>
        <v>1.881</v>
      </c>
      <c r="J69" s="41">
        <f t="shared" ref="J69:J100" si="14">ROUNDUP(I69*SQRT(L2_Mean*(H69^2)+(G69^2)*(L2_Std^2)),0)</f>
        <v>420</v>
      </c>
      <c r="K69" s="41">
        <f>'03_FBA_Nivel1_Transfer'!N69</f>
        <v>525</v>
      </c>
      <c r="L69" s="41">
        <f t="shared" ref="L69:L100" si="15">_xlfn.CEILING.MATH(G69*L2_Mean+J69+K69,1)</f>
        <v>2564</v>
      </c>
      <c r="M69" s="44">
        <f t="shared" ref="M69:M100" si="16">_xlfn.CEILING.MATH(G69*(L2_Mean+45)+J69+K69,1)</f>
        <v>3535</v>
      </c>
      <c r="N69" s="41">
        <f>_xlfn.CEILING.MATH(_xlfn.XLOOKUP($A69,tbl_Catalog[sku_id],tbl_Catalog[sku_moq_units])/_xlfn.XLOOKUP($A69,tbl_Catalog[sku_id],tbl_Catalog[master_carton_qty]),1)</f>
        <v>3</v>
      </c>
      <c r="O69" s="31">
        <f t="shared" ref="O69:O100" si="17">IF(G69&gt;0,(F69-L69)/G69,999)</f>
        <v>-68.172233370563134</v>
      </c>
      <c r="P69" s="48">
        <f>_xlfn.LET(_xlpm.ip_sys,$F69,_xlpm.rop_sys,$L69,_xlpm.s_max,$M69,_xlpm.m_qty,_xlfn.XLOOKUP($A69,tbl_Catalog[sku_id],tbl_Catalog[master_carton_qty]),_xlpm.moq,_xlfn.XLOOKUP($A69,tbl_Catalog[sku_id],tbl_Catalog[sku_moq_units]),IF(_xlpm.ip_sys&lt;=_xlpm.rop_sys,_xlfn.CEILING.MATH(MAX(_xlpm.s_max-_xlpm.ip_sys,_xlpm.moq),_xlpm.m_qty),0))</f>
        <v>2500</v>
      </c>
      <c r="Q69" s="30">
        <f>IF(P69&gt;0,(P69/_xlfn.XLOOKUP($A69,tbl_Catalog[sku_id],tbl_Catalog[master_carton_qty]))*_xlfn.XLOOKUP($A69,tbl_Catalog[sku_id],tbl_Catalog[carton_volume_cbm]),0)</f>
        <v>1.5</v>
      </c>
      <c r="R69" s="41">
        <v>0</v>
      </c>
      <c r="S69" s="41">
        <v>0</v>
      </c>
      <c r="T69" s="41">
        <f>S69*_xlfn.XLOOKUP($A69,tbl_Catalog[sku_id],tbl_Catalog[master_carton_qty])</f>
        <v>0</v>
      </c>
      <c r="U69" s="46">
        <f t="shared" ref="U69:U100" si="18">R69+T69</f>
        <v>0</v>
      </c>
      <c r="V69" s="41">
        <f>IF(_xlfn.XLOOKUP($A69,tbl_Catalog[sku_id],tbl_Catalog[master_carton_qty])&gt;0,U69/_xlfn.XLOOKUP($A69,tbl_Catalog[sku_id],tbl_Catalog[master_carton_qty]),0)</f>
        <v>0</v>
      </c>
      <c r="W69" s="38">
        <f>V69*_xlfn.XLOOKUP($A69,tbl_Catalog[sku_id],tbl_Catalog[carton_volume_cbm])</f>
        <v>0</v>
      </c>
      <c r="X69" s="4" t="str">
        <f t="shared" ref="X69:X100" si="19">IF(U69=0,"DEFERRED / NO PO",IF(S69&gt;0,"BASE + TIER-A TOP-UP","BASE LOAD"))</f>
        <v>DEFERRED / NO PO</v>
      </c>
      <c r="Y69" s="4" t="str">
        <f>IF(U69=0,"N/A",IF(AND(MOD(U69,_xlfn.XLOOKUP($A69,tbl_Catalog[sku_id],tbl_Catalog[master_carton_qty]))=0,U69&gt;=_xlfn.XLOOKUP($A69,tbl_Catalog[sku_id],tbl_Catalog[sku_moq_units])),"MOQ OK","CHECK"))</f>
        <v>N/A</v>
      </c>
      <c r="Z69" s="4" t="str">
        <f t="shared" ref="Z69:Z100" si="20">IF(U69=0,"N/A",IF((F69+U69)/MAX(0.1,G69)&lt;=DOS_Cap,"DOS OK","MOQ OVERRIDE"))</f>
        <v>N/A</v>
      </c>
      <c r="AA69" s="41">
        <v>800</v>
      </c>
      <c r="AB69" s="41">
        <v>18</v>
      </c>
      <c r="AC69" s="4" t="b">
        <v>0</v>
      </c>
    </row>
    <row r="70" spans="1:29" x14ac:dyDescent="0.3">
      <c r="A70" s="36" t="s">
        <v>382</v>
      </c>
      <c r="B70" s="16" t="s">
        <v>293</v>
      </c>
      <c r="C70" s="4" t="s">
        <v>179</v>
      </c>
      <c r="D70" s="41">
        <v>247</v>
      </c>
      <c r="E70" s="41">
        <v>0</v>
      </c>
      <c r="F70" s="42">
        <f>'03_FBA_Nivel1_Transfer'!E70+D70-E70</f>
        <v>247</v>
      </c>
      <c r="G70" s="39">
        <f>'02_Demand_Unconstraining'!R70</f>
        <v>2.2635999999999998</v>
      </c>
      <c r="H70" s="30">
        <f>'02_Demand_Unconstraining'!S70</f>
        <v>1.1893</v>
      </c>
      <c r="I70" s="29">
        <f>_xlfn.XLOOKUP($A70,tbl_Catalog[sku_id],tbl_Catalog[z_score])</f>
        <v>1.645</v>
      </c>
      <c r="J70" s="41">
        <f t="shared" si="14"/>
        <v>41</v>
      </c>
      <c r="K70" s="41">
        <f>'03_FBA_Nivel1_Transfer'!N70</f>
        <v>11</v>
      </c>
      <c r="L70" s="41">
        <f t="shared" si="15"/>
        <v>222</v>
      </c>
      <c r="M70" s="44">
        <f t="shared" si="16"/>
        <v>324</v>
      </c>
      <c r="N70" s="41">
        <f>_xlfn.CEILING.MATH(_xlfn.XLOOKUP($A70,tbl_Catalog[sku_id],tbl_Catalog[sku_moq_units])/_xlfn.XLOOKUP($A70,tbl_Catalog[sku_id],tbl_Catalog[master_carton_qty]),1)</f>
        <v>3</v>
      </c>
      <c r="O70" s="31">
        <f t="shared" si="17"/>
        <v>11.044354126170703</v>
      </c>
      <c r="P70" s="48">
        <f>_xlfn.LET(_xlpm.ip_sys,$F70,_xlpm.rop_sys,$L70,_xlpm.s_max,$M70,_xlpm.m_qty,_xlfn.XLOOKUP($A70,tbl_Catalog[sku_id],tbl_Catalog[master_carton_qty]),_xlpm.moq,_xlfn.XLOOKUP($A70,tbl_Catalog[sku_id],tbl_Catalog[sku_moq_units]),IF(_xlpm.ip_sys&lt;=_xlpm.rop_sys,_xlfn.CEILING.MATH(MAX(_xlpm.s_max-_xlpm.ip_sys,_xlpm.moq),_xlpm.m_qty),0))</f>
        <v>0</v>
      </c>
      <c r="Q70" s="30">
        <f>IF(P70&gt;0,(P70/_xlfn.XLOOKUP($A70,tbl_Catalog[sku_id],tbl_Catalog[master_carton_qty]))*_xlfn.XLOOKUP($A70,tbl_Catalog[sku_id],tbl_Catalog[carton_volume_cbm]),0)</f>
        <v>0</v>
      </c>
      <c r="R70" s="41">
        <v>0</v>
      </c>
      <c r="S70" s="41">
        <v>0</v>
      </c>
      <c r="T70" s="41">
        <f>S70*_xlfn.XLOOKUP($A70,tbl_Catalog[sku_id],tbl_Catalog[master_carton_qty])</f>
        <v>0</v>
      </c>
      <c r="U70" s="46">
        <f t="shared" si="18"/>
        <v>0</v>
      </c>
      <c r="V70" s="41">
        <f>IF(_xlfn.XLOOKUP($A70,tbl_Catalog[sku_id],tbl_Catalog[master_carton_qty])&gt;0,U70/_xlfn.XLOOKUP($A70,tbl_Catalog[sku_id],tbl_Catalog[master_carton_qty]),0)</f>
        <v>0</v>
      </c>
      <c r="W70" s="38">
        <f>V70*_xlfn.XLOOKUP($A70,tbl_Catalog[sku_id],tbl_Catalog[carton_volume_cbm])</f>
        <v>0</v>
      </c>
      <c r="X70" s="4" t="str">
        <f t="shared" si="19"/>
        <v>DEFERRED / NO PO</v>
      </c>
      <c r="Y70" s="4" t="str">
        <f>IF(U70=0,"N/A",IF(AND(MOD(U70,_xlfn.XLOOKUP($A70,tbl_Catalog[sku_id],tbl_Catalog[master_carton_qty]))=0,U70&gt;=_xlfn.XLOOKUP($A70,tbl_Catalog[sku_id],tbl_Catalog[sku_moq_units])),"MOQ OK","CHECK"))</f>
        <v>N/A</v>
      </c>
      <c r="Z70" s="4" t="str">
        <f t="shared" si="20"/>
        <v>N/A</v>
      </c>
      <c r="AA70" s="41">
        <v>0</v>
      </c>
      <c r="AB70" s="41">
        <v>0</v>
      </c>
      <c r="AC70" s="4" t="b">
        <v>0</v>
      </c>
    </row>
    <row r="71" spans="1:29" x14ac:dyDescent="0.3">
      <c r="A71" s="36" t="s">
        <v>385</v>
      </c>
      <c r="B71" s="16" t="s">
        <v>293</v>
      </c>
      <c r="C71" s="4" t="s">
        <v>184</v>
      </c>
      <c r="D71" s="41">
        <v>50</v>
      </c>
      <c r="E71" s="41">
        <v>0</v>
      </c>
      <c r="F71" s="42">
        <f>'03_FBA_Nivel1_Transfer'!E71+D71-E71</f>
        <v>171</v>
      </c>
      <c r="G71" s="39">
        <f>'02_Demand_Unconstraining'!R71</f>
        <v>3.6334</v>
      </c>
      <c r="H71" s="30">
        <f>'02_Demand_Unconstraining'!S71</f>
        <v>1.3643000000000001</v>
      </c>
      <c r="I71" s="29">
        <f>_xlfn.XLOOKUP($A71,tbl_Catalog[sku_id],tbl_Catalog[z_score])</f>
        <v>1.645</v>
      </c>
      <c r="J71" s="41">
        <f t="shared" si="14"/>
        <v>63</v>
      </c>
      <c r="K71" s="41">
        <f>'03_FBA_Nivel1_Transfer'!N71</f>
        <v>79</v>
      </c>
      <c r="L71" s="41">
        <f t="shared" si="15"/>
        <v>415</v>
      </c>
      <c r="M71" s="44">
        <f t="shared" si="16"/>
        <v>579</v>
      </c>
      <c r="N71" s="41">
        <f>_xlfn.CEILING.MATH(_xlfn.XLOOKUP($A71,tbl_Catalog[sku_id],tbl_Catalog[sku_moq_units])/_xlfn.XLOOKUP($A71,tbl_Catalog[sku_id],tbl_Catalog[master_carton_qty]),1)</f>
        <v>3</v>
      </c>
      <c r="O71" s="31">
        <f t="shared" si="17"/>
        <v>-67.154731105851269</v>
      </c>
      <c r="P71" s="48">
        <f>_xlfn.LET(_xlpm.ip_sys,$F71,_xlpm.rop_sys,$L71,_xlpm.s_max,$M71,_xlpm.m_qty,_xlfn.XLOOKUP($A71,tbl_Catalog[sku_id],tbl_Catalog[master_carton_qty]),_xlpm.moq,_xlfn.XLOOKUP($A71,tbl_Catalog[sku_id],tbl_Catalog[sku_moq_units]),IF(_xlpm.ip_sys&lt;=_xlpm.rop_sys,_xlfn.CEILING.MATH(MAX(_xlpm.s_max-_xlpm.ip_sys,_xlpm.moq),_xlpm.m_qty),0))</f>
        <v>500</v>
      </c>
      <c r="Q71" s="30">
        <f>IF(P71&gt;0,(P71/_xlfn.XLOOKUP($A71,tbl_Catalog[sku_id],tbl_Catalog[master_carton_qty]))*_xlfn.XLOOKUP($A71,tbl_Catalog[sku_id],tbl_Catalog[carton_volume_cbm]),0)</f>
        <v>0.3</v>
      </c>
      <c r="R71" s="41">
        <v>0</v>
      </c>
      <c r="S71" s="41">
        <v>0</v>
      </c>
      <c r="T71" s="41">
        <f>S71*_xlfn.XLOOKUP($A71,tbl_Catalog[sku_id],tbl_Catalog[master_carton_qty])</f>
        <v>0</v>
      </c>
      <c r="U71" s="46">
        <f t="shared" si="18"/>
        <v>0</v>
      </c>
      <c r="V71" s="41">
        <f>IF(_xlfn.XLOOKUP($A71,tbl_Catalog[sku_id],tbl_Catalog[master_carton_qty])&gt;0,U71/_xlfn.XLOOKUP($A71,tbl_Catalog[sku_id],tbl_Catalog[master_carton_qty]),0)</f>
        <v>0</v>
      </c>
      <c r="W71" s="38">
        <f>V71*_xlfn.XLOOKUP($A71,tbl_Catalog[sku_id],tbl_Catalog[carton_volume_cbm])</f>
        <v>0</v>
      </c>
      <c r="X71" s="4" t="str">
        <f t="shared" si="19"/>
        <v>DEFERRED / NO PO</v>
      </c>
      <c r="Y71" s="4" t="str">
        <f>IF(U71=0,"N/A",IF(AND(MOD(U71,_xlfn.XLOOKUP($A71,tbl_Catalog[sku_id],tbl_Catalog[master_carton_qty]))=0,U71&gt;=_xlfn.XLOOKUP($A71,tbl_Catalog[sku_id],tbl_Catalog[sku_moq_units])),"MOQ OK","CHECK"))</f>
        <v>N/A</v>
      </c>
      <c r="Z71" s="4" t="str">
        <f t="shared" si="20"/>
        <v>N/A</v>
      </c>
      <c r="AA71" s="41">
        <v>300</v>
      </c>
      <c r="AB71" s="41">
        <v>3</v>
      </c>
      <c r="AC71" s="4" t="b">
        <v>0</v>
      </c>
    </row>
    <row r="72" spans="1:29" x14ac:dyDescent="0.3">
      <c r="A72" s="36" t="s">
        <v>388</v>
      </c>
      <c r="B72" s="16" t="s">
        <v>293</v>
      </c>
      <c r="C72" s="4" t="s">
        <v>188</v>
      </c>
      <c r="D72" s="41">
        <v>211</v>
      </c>
      <c r="E72" s="41">
        <v>0</v>
      </c>
      <c r="F72" s="42">
        <f>'03_FBA_Nivel1_Transfer'!E72+D72-E72</f>
        <v>331</v>
      </c>
      <c r="G72" s="39">
        <f>'02_Demand_Unconstraining'!R72</f>
        <v>1.1666000000000001</v>
      </c>
      <c r="H72" s="30">
        <f>'02_Demand_Unconstraining'!S72</f>
        <v>1.2808999999999999</v>
      </c>
      <c r="I72" s="29">
        <f>_xlfn.XLOOKUP($A72,tbl_Catalog[sku_id],tbl_Catalog[z_score])</f>
        <v>1.282</v>
      </c>
      <c r="J72" s="41">
        <f t="shared" si="14"/>
        <v>21</v>
      </c>
      <c r="K72" s="41">
        <f>'03_FBA_Nivel1_Transfer'!N72</f>
        <v>7</v>
      </c>
      <c r="L72" s="41">
        <f t="shared" si="15"/>
        <v>116</v>
      </c>
      <c r="M72" s="44">
        <f t="shared" si="16"/>
        <v>168</v>
      </c>
      <c r="N72" s="41">
        <f>_xlfn.CEILING.MATH(_xlfn.XLOOKUP($A72,tbl_Catalog[sku_id],tbl_Catalog[sku_moq_units])/_xlfn.XLOOKUP($A72,tbl_Catalog[sku_id],tbl_Catalog[master_carton_qty]),1)</f>
        <v>3</v>
      </c>
      <c r="O72" s="31">
        <f t="shared" si="17"/>
        <v>184.29624549974284</v>
      </c>
      <c r="P72" s="48">
        <f>_xlfn.LET(_xlpm.ip_sys,$F72,_xlpm.rop_sys,$L72,_xlpm.s_max,$M72,_xlpm.m_qty,_xlfn.XLOOKUP($A72,tbl_Catalog[sku_id],tbl_Catalog[master_carton_qty]),_xlpm.moq,_xlfn.XLOOKUP($A72,tbl_Catalog[sku_id],tbl_Catalog[sku_moq_units]),IF(_xlpm.ip_sys&lt;=_xlpm.rop_sys,_xlfn.CEILING.MATH(MAX(_xlpm.s_max-_xlpm.ip_sys,_xlpm.moq),_xlpm.m_qty),0))</f>
        <v>0</v>
      </c>
      <c r="Q72" s="30">
        <f>IF(P72&gt;0,(P72/_xlfn.XLOOKUP($A72,tbl_Catalog[sku_id],tbl_Catalog[master_carton_qty]))*_xlfn.XLOOKUP($A72,tbl_Catalog[sku_id],tbl_Catalog[carton_volume_cbm]),0)</f>
        <v>0</v>
      </c>
      <c r="R72" s="41">
        <v>0</v>
      </c>
      <c r="S72" s="41">
        <v>0</v>
      </c>
      <c r="T72" s="41">
        <f>S72*_xlfn.XLOOKUP($A72,tbl_Catalog[sku_id],tbl_Catalog[master_carton_qty])</f>
        <v>0</v>
      </c>
      <c r="U72" s="46">
        <f t="shared" si="18"/>
        <v>0</v>
      </c>
      <c r="V72" s="41">
        <f>IF(_xlfn.XLOOKUP($A72,tbl_Catalog[sku_id],tbl_Catalog[master_carton_qty])&gt;0,U72/_xlfn.XLOOKUP($A72,tbl_Catalog[sku_id],tbl_Catalog[master_carton_qty]),0)</f>
        <v>0</v>
      </c>
      <c r="W72" s="38">
        <f>V72*_xlfn.XLOOKUP($A72,tbl_Catalog[sku_id],tbl_Catalog[carton_volume_cbm])</f>
        <v>0</v>
      </c>
      <c r="X72" s="4" t="str">
        <f t="shared" si="19"/>
        <v>DEFERRED / NO PO</v>
      </c>
      <c r="Y72" s="4" t="str">
        <f>IF(U72=0,"N/A",IF(AND(MOD(U72,_xlfn.XLOOKUP($A72,tbl_Catalog[sku_id],tbl_Catalog[master_carton_qty]))=0,U72&gt;=_xlfn.XLOOKUP($A72,tbl_Catalog[sku_id],tbl_Catalog[sku_moq_units])),"MOQ OK","CHECK"))</f>
        <v>N/A</v>
      </c>
      <c r="Z72" s="4" t="str">
        <f t="shared" si="20"/>
        <v>N/A</v>
      </c>
      <c r="AA72" s="41">
        <v>0</v>
      </c>
      <c r="AB72" s="41">
        <v>0</v>
      </c>
      <c r="AC72" s="4" t="b">
        <v>0</v>
      </c>
    </row>
    <row r="73" spans="1:29" x14ac:dyDescent="0.3">
      <c r="A73" s="36" t="s">
        <v>391</v>
      </c>
      <c r="B73" s="16" t="s">
        <v>293</v>
      </c>
      <c r="C73" s="4" t="s">
        <v>179</v>
      </c>
      <c r="D73" s="41">
        <v>8</v>
      </c>
      <c r="E73" s="41">
        <v>0</v>
      </c>
      <c r="F73" s="42">
        <f>'03_FBA_Nivel1_Transfer'!E73+D73-E73</f>
        <v>51</v>
      </c>
      <c r="G73" s="39">
        <f>'02_Demand_Unconstraining'!R73</f>
        <v>2.7667000000000002</v>
      </c>
      <c r="H73" s="30">
        <f>'02_Demand_Unconstraining'!S73</f>
        <v>1.3528</v>
      </c>
      <c r="I73" s="29">
        <f>_xlfn.XLOOKUP($A73,tbl_Catalog[sku_id],tbl_Catalog[z_score])</f>
        <v>1.645</v>
      </c>
      <c r="J73" s="41">
        <f t="shared" si="14"/>
        <v>50</v>
      </c>
      <c r="K73" s="41">
        <f>'03_FBA_Nivel1_Transfer'!N73</f>
        <v>12</v>
      </c>
      <c r="L73" s="41">
        <f t="shared" si="15"/>
        <v>270</v>
      </c>
      <c r="M73" s="44">
        <f t="shared" si="16"/>
        <v>395</v>
      </c>
      <c r="N73" s="41">
        <f>_xlfn.CEILING.MATH(_xlfn.XLOOKUP($A73,tbl_Catalog[sku_id],tbl_Catalog[sku_moq_units])/_xlfn.XLOOKUP($A73,tbl_Catalog[sku_id],tbl_Catalog[master_carton_qty]),1)</f>
        <v>3</v>
      </c>
      <c r="O73" s="31">
        <f t="shared" si="17"/>
        <v>-79.155672823218993</v>
      </c>
      <c r="P73" s="48">
        <f>_xlfn.LET(_xlpm.ip_sys,$F73,_xlpm.rop_sys,$L73,_xlpm.s_max,$M73,_xlpm.m_qty,_xlfn.XLOOKUP($A73,tbl_Catalog[sku_id],tbl_Catalog[master_carton_qty]),_xlpm.moq,_xlfn.XLOOKUP($A73,tbl_Catalog[sku_id],tbl_Catalog[sku_moq_units]),IF(_xlpm.ip_sys&lt;=_xlpm.rop_sys,_xlfn.CEILING.MATH(MAX(_xlpm.s_max-_xlpm.ip_sys,_xlpm.moq),_xlpm.m_qty),0))</f>
        <v>400</v>
      </c>
      <c r="Q73" s="30">
        <f>IF(P73&gt;0,(P73/_xlfn.XLOOKUP($A73,tbl_Catalog[sku_id],tbl_Catalog[master_carton_qty]))*_xlfn.XLOOKUP($A73,tbl_Catalog[sku_id],tbl_Catalog[carton_volume_cbm]),0)</f>
        <v>0.24</v>
      </c>
      <c r="R73" s="41">
        <v>0</v>
      </c>
      <c r="S73" s="41">
        <v>0</v>
      </c>
      <c r="T73" s="41">
        <f>S73*_xlfn.XLOOKUP($A73,tbl_Catalog[sku_id],tbl_Catalog[master_carton_qty])</f>
        <v>0</v>
      </c>
      <c r="U73" s="46">
        <f t="shared" si="18"/>
        <v>0</v>
      </c>
      <c r="V73" s="41">
        <f>IF(_xlfn.XLOOKUP($A73,tbl_Catalog[sku_id],tbl_Catalog[master_carton_qty])&gt;0,U73/_xlfn.XLOOKUP($A73,tbl_Catalog[sku_id],tbl_Catalog[master_carton_qty]),0)</f>
        <v>0</v>
      </c>
      <c r="W73" s="38">
        <f>V73*_xlfn.XLOOKUP($A73,tbl_Catalog[sku_id],tbl_Catalog[carton_volume_cbm])</f>
        <v>0</v>
      </c>
      <c r="X73" s="4" t="str">
        <f t="shared" si="19"/>
        <v>DEFERRED / NO PO</v>
      </c>
      <c r="Y73" s="4" t="str">
        <f>IF(U73=0,"N/A",IF(AND(MOD(U73,_xlfn.XLOOKUP($A73,tbl_Catalog[sku_id],tbl_Catalog[master_carton_qty]))=0,U73&gt;=_xlfn.XLOOKUP($A73,tbl_Catalog[sku_id],tbl_Catalog[sku_moq_units])),"MOQ OK","CHECK"))</f>
        <v>N/A</v>
      </c>
      <c r="Z73" s="4" t="str">
        <f t="shared" si="20"/>
        <v>N/A</v>
      </c>
      <c r="AA73" s="41">
        <v>300</v>
      </c>
      <c r="AB73" s="41">
        <v>3</v>
      </c>
      <c r="AC73" s="4" t="b">
        <v>0</v>
      </c>
    </row>
    <row r="74" spans="1:29" x14ac:dyDescent="0.3">
      <c r="A74" s="36" t="s">
        <v>394</v>
      </c>
      <c r="B74" s="16" t="s">
        <v>293</v>
      </c>
      <c r="C74" s="4" t="s">
        <v>188</v>
      </c>
      <c r="D74" s="41">
        <v>103</v>
      </c>
      <c r="E74" s="41">
        <v>0</v>
      </c>
      <c r="F74" s="42">
        <f>'03_FBA_Nivel1_Transfer'!E74+D74-E74</f>
        <v>139</v>
      </c>
      <c r="G74" s="39">
        <f>'02_Demand_Unconstraining'!R74</f>
        <v>0.6</v>
      </c>
      <c r="H74" s="30">
        <f>'02_Demand_Unconstraining'!S74</f>
        <v>0.60370000000000001</v>
      </c>
      <c r="I74" s="29">
        <f>_xlfn.XLOOKUP($A74,tbl_Catalog[sku_id],tbl_Catalog[z_score])</f>
        <v>1.282</v>
      </c>
      <c r="J74" s="41">
        <f t="shared" si="14"/>
        <v>11</v>
      </c>
      <c r="K74" s="41">
        <f>'03_FBA_Nivel1_Transfer'!N74</f>
        <v>4</v>
      </c>
      <c r="L74" s="41">
        <f t="shared" si="15"/>
        <v>60</v>
      </c>
      <c r="M74" s="44">
        <f t="shared" si="16"/>
        <v>87</v>
      </c>
      <c r="N74" s="41">
        <f>_xlfn.CEILING.MATH(_xlfn.XLOOKUP($A74,tbl_Catalog[sku_id],tbl_Catalog[sku_moq_units])/_xlfn.XLOOKUP($A74,tbl_Catalog[sku_id],tbl_Catalog[master_carton_qty]),1)</f>
        <v>3</v>
      </c>
      <c r="O74" s="31">
        <f t="shared" si="17"/>
        <v>131.66666666666669</v>
      </c>
      <c r="P74" s="48">
        <f>_xlfn.LET(_xlpm.ip_sys,$F74,_xlpm.rop_sys,$L74,_xlpm.s_max,$M74,_xlpm.m_qty,_xlfn.XLOOKUP($A74,tbl_Catalog[sku_id],tbl_Catalog[master_carton_qty]),_xlpm.moq,_xlfn.XLOOKUP($A74,tbl_Catalog[sku_id],tbl_Catalog[sku_moq_units]),IF(_xlpm.ip_sys&lt;=_xlpm.rop_sys,_xlfn.CEILING.MATH(MAX(_xlpm.s_max-_xlpm.ip_sys,_xlpm.moq),_xlpm.m_qty),0))</f>
        <v>0</v>
      </c>
      <c r="Q74" s="30">
        <f>IF(P74&gt;0,(P74/_xlfn.XLOOKUP($A74,tbl_Catalog[sku_id],tbl_Catalog[master_carton_qty]))*_xlfn.XLOOKUP($A74,tbl_Catalog[sku_id],tbl_Catalog[carton_volume_cbm]),0)</f>
        <v>0</v>
      </c>
      <c r="R74" s="41">
        <v>0</v>
      </c>
      <c r="S74" s="41">
        <v>0</v>
      </c>
      <c r="T74" s="41">
        <f>S74*_xlfn.XLOOKUP($A74,tbl_Catalog[sku_id],tbl_Catalog[master_carton_qty])</f>
        <v>0</v>
      </c>
      <c r="U74" s="46">
        <f t="shared" si="18"/>
        <v>0</v>
      </c>
      <c r="V74" s="41">
        <f>IF(_xlfn.XLOOKUP($A74,tbl_Catalog[sku_id],tbl_Catalog[master_carton_qty])&gt;0,U74/_xlfn.XLOOKUP($A74,tbl_Catalog[sku_id],tbl_Catalog[master_carton_qty]),0)</f>
        <v>0</v>
      </c>
      <c r="W74" s="38">
        <f>V74*_xlfn.XLOOKUP($A74,tbl_Catalog[sku_id],tbl_Catalog[carton_volume_cbm])</f>
        <v>0</v>
      </c>
      <c r="X74" s="4" t="str">
        <f t="shared" si="19"/>
        <v>DEFERRED / NO PO</v>
      </c>
      <c r="Y74" s="4" t="str">
        <f>IF(U74=0,"N/A",IF(AND(MOD(U74,_xlfn.XLOOKUP($A74,tbl_Catalog[sku_id],tbl_Catalog[master_carton_qty]))=0,U74&gt;=_xlfn.XLOOKUP($A74,tbl_Catalog[sku_id],tbl_Catalog[sku_moq_units])),"MOQ OK","CHECK"))</f>
        <v>N/A</v>
      </c>
      <c r="Z74" s="4" t="str">
        <f t="shared" si="20"/>
        <v>N/A</v>
      </c>
      <c r="AA74" s="41">
        <v>0</v>
      </c>
      <c r="AB74" s="41">
        <v>0</v>
      </c>
      <c r="AC74" s="4" t="b">
        <v>0</v>
      </c>
    </row>
    <row r="75" spans="1:29" x14ac:dyDescent="0.3">
      <c r="A75" s="36" t="s">
        <v>397</v>
      </c>
      <c r="B75" s="16" t="s">
        <v>293</v>
      </c>
      <c r="C75" s="4" t="s">
        <v>188</v>
      </c>
      <c r="D75" s="41">
        <v>113</v>
      </c>
      <c r="E75" s="41">
        <v>0</v>
      </c>
      <c r="F75" s="42">
        <f>'03_FBA_Nivel1_Transfer'!E75+D75-E75</f>
        <v>113</v>
      </c>
      <c r="G75" s="39">
        <f>'02_Demand_Unconstraining'!R75</f>
        <v>1.0779000000000001</v>
      </c>
      <c r="H75" s="30">
        <f>'02_Demand_Unconstraining'!S75</f>
        <v>0.97199999999999998</v>
      </c>
      <c r="I75" s="29">
        <f>_xlfn.XLOOKUP($A75,tbl_Catalog[sku_id],tbl_Catalog[z_score])</f>
        <v>1.282</v>
      </c>
      <c r="J75" s="41">
        <f t="shared" si="14"/>
        <v>18</v>
      </c>
      <c r="K75" s="41">
        <f>'03_FBA_Nivel1_Transfer'!N75</f>
        <v>6</v>
      </c>
      <c r="L75" s="41">
        <f t="shared" si="15"/>
        <v>105</v>
      </c>
      <c r="M75" s="44">
        <f t="shared" si="16"/>
        <v>154</v>
      </c>
      <c r="N75" s="41">
        <f>_xlfn.CEILING.MATH(_xlfn.XLOOKUP($A75,tbl_Catalog[sku_id],tbl_Catalog[sku_moq_units])/_xlfn.XLOOKUP($A75,tbl_Catalog[sku_id],tbl_Catalog[master_carton_qty]),1)</f>
        <v>3</v>
      </c>
      <c r="O75" s="31">
        <f t="shared" si="17"/>
        <v>7.4218387605529266</v>
      </c>
      <c r="P75" s="48">
        <f>_xlfn.LET(_xlpm.ip_sys,$F75,_xlpm.rop_sys,$L75,_xlpm.s_max,$M75,_xlpm.m_qty,_xlfn.XLOOKUP($A75,tbl_Catalog[sku_id],tbl_Catalog[master_carton_qty]),_xlpm.moq,_xlfn.XLOOKUP($A75,tbl_Catalog[sku_id],tbl_Catalog[sku_moq_units]),IF(_xlpm.ip_sys&lt;=_xlpm.rop_sys,_xlfn.CEILING.MATH(MAX(_xlpm.s_max-_xlpm.ip_sys,_xlpm.moq),_xlpm.m_qty),0))</f>
        <v>0</v>
      </c>
      <c r="Q75" s="30">
        <f>IF(P75&gt;0,(P75/_xlfn.XLOOKUP($A75,tbl_Catalog[sku_id],tbl_Catalog[master_carton_qty]))*_xlfn.XLOOKUP($A75,tbl_Catalog[sku_id],tbl_Catalog[carton_volume_cbm]),0)</f>
        <v>0</v>
      </c>
      <c r="R75" s="41">
        <v>0</v>
      </c>
      <c r="S75" s="41">
        <v>0</v>
      </c>
      <c r="T75" s="41">
        <f>S75*_xlfn.XLOOKUP($A75,tbl_Catalog[sku_id],tbl_Catalog[master_carton_qty])</f>
        <v>0</v>
      </c>
      <c r="U75" s="46">
        <f t="shared" si="18"/>
        <v>0</v>
      </c>
      <c r="V75" s="41">
        <f>IF(_xlfn.XLOOKUP($A75,tbl_Catalog[sku_id],tbl_Catalog[master_carton_qty])&gt;0,U75/_xlfn.XLOOKUP($A75,tbl_Catalog[sku_id],tbl_Catalog[master_carton_qty]),0)</f>
        <v>0</v>
      </c>
      <c r="W75" s="38">
        <f>V75*_xlfn.XLOOKUP($A75,tbl_Catalog[sku_id],tbl_Catalog[carton_volume_cbm])</f>
        <v>0</v>
      </c>
      <c r="X75" s="4" t="str">
        <f t="shared" si="19"/>
        <v>DEFERRED / NO PO</v>
      </c>
      <c r="Y75" s="4" t="str">
        <f>IF(U75=0,"N/A",IF(AND(MOD(U75,_xlfn.XLOOKUP($A75,tbl_Catalog[sku_id],tbl_Catalog[master_carton_qty]))=0,U75&gt;=_xlfn.XLOOKUP($A75,tbl_Catalog[sku_id],tbl_Catalog[sku_moq_units])),"MOQ OK","CHECK"))</f>
        <v>N/A</v>
      </c>
      <c r="Z75" s="4" t="str">
        <f t="shared" si="20"/>
        <v>N/A</v>
      </c>
      <c r="AA75" s="41">
        <v>0</v>
      </c>
      <c r="AB75" s="41">
        <v>0</v>
      </c>
      <c r="AC75" s="4" t="b">
        <v>0</v>
      </c>
    </row>
    <row r="76" spans="1:29" x14ac:dyDescent="0.3">
      <c r="A76" s="36" t="s">
        <v>400</v>
      </c>
      <c r="B76" s="16" t="s">
        <v>293</v>
      </c>
      <c r="C76" s="4" t="s">
        <v>188</v>
      </c>
      <c r="D76" s="41">
        <v>304</v>
      </c>
      <c r="E76" s="41">
        <v>0</v>
      </c>
      <c r="F76" s="42">
        <f>'03_FBA_Nivel1_Transfer'!E76+D76-E76</f>
        <v>304</v>
      </c>
      <c r="G76" s="39">
        <f>'02_Demand_Unconstraining'!R76</f>
        <v>0.4476</v>
      </c>
      <c r="H76" s="30">
        <f>'02_Demand_Unconstraining'!S76</f>
        <v>0.27229999999999999</v>
      </c>
      <c r="I76" s="29">
        <f>_xlfn.XLOOKUP($A76,tbl_Catalog[sku_id],tbl_Catalog[z_score])</f>
        <v>1.282</v>
      </c>
      <c r="J76" s="41">
        <f t="shared" si="14"/>
        <v>7</v>
      </c>
      <c r="K76" s="41">
        <f>'03_FBA_Nivel1_Transfer'!N76</f>
        <v>2</v>
      </c>
      <c r="L76" s="41">
        <f t="shared" si="15"/>
        <v>43</v>
      </c>
      <c r="M76" s="44">
        <f t="shared" si="16"/>
        <v>63</v>
      </c>
      <c r="N76" s="41">
        <f>_xlfn.CEILING.MATH(_xlfn.XLOOKUP($A76,tbl_Catalog[sku_id],tbl_Catalog[sku_moq_units])/_xlfn.XLOOKUP($A76,tbl_Catalog[sku_id],tbl_Catalog[master_carton_qty]),1)</f>
        <v>3</v>
      </c>
      <c r="O76" s="31">
        <f t="shared" si="17"/>
        <v>583.10991957104557</v>
      </c>
      <c r="P76" s="48">
        <f>_xlfn.LET(_xlpm.ip_sys,$F76,_xlpm.rop_sys,$L76,_xlpm.s_max,$M76,_xlpm.m_qty,_xlfn.XLOOKUP($A76,tbl_Catalog[sku_id],tbl_Catalog[master_carton_qty]),_xlpm.moq,_xlfn.XLOOKUP($A76,tbl_Catalog[sku_id],tbl_Catalog[sku_moq_units]),IF(_xlpm.ip_sys&lt;=_xlpm.rop_sys,_xlfn.CEILING.MATH(MAX(_xlpm.s_max-_xlpm.ip_sys,_xlpm.moq),_xlpm.m_qty),0))</f>
        <v>0</v>
      </c>
      <c r="Q76" s="30">
        <f>IF(P76&gt;0,(P76/_xlfn.XLOOKUP($A76,tbl_Catalog[sku_id],tbl_Catalog[master_carton_qty]))*_xlfn.XLOOKUP($A76,tbl_Catalog[sku_id],tbl_Catalog[carton_volume_cbm]),0)</f>
        <v>0</v>
      </c>
      <c r="R76" s="41">
        <v>0</v>
      </c>
      <c r="S76" s="41">
        <v>0</v>
      </c>
      <c r="T76" s="41">
        <f>S76*_xlfn.XLOOKUP($A76,tbl_Catalog[sku_id],tbl_Catalog[master_carton_qty])</f>
        <v>0</v>
      </c>
      <c r="U76" s="46">
        <f t="shared" si="18"/>
        <v>0</v>
      </c>
      <c r="V76" s="41">
        <f>IF(_xlfn.XLOOKUP($A76,tbl_Catalog[sku_id],tbl_Catalog[master_carton_qty])&gt;0,U76/_xlfn.XLOOKUP($A76,tbl_Catalog[sku_id],tbl_Catalog[master_carton_qty]),0)</f>
        <v>0</v>
      </c>
      <c r="W76" s="38">
        <f>V76*_xlfn.XLOOKUP($A76,tbl_Catalog[sku_id],tbl_Catalog[carton_volume_cbm])</f>
        <v>0</v>
      </c>
      <c r="X76" s="4" t="str">
        <f t="shared" si="19"/>
        <v>DEFERRED / NO PO</v>
      </c>
      <c r="Y76" s="4" t="str">
        <f>IF(U76=0,"N/A",IF(AND(MOD(U76,_xlfn.XLOOKUP($A76,tbl_Catalog[sku_id],tbl_Catalog[master_carton_qty]))=0,U76&gt;=_xlfn.XLOOKUP($A76,tbl_Catalog[sku_id],tbl_Catalog[sku_moq_units])),"MOQ OK","CHECK"))</f>
        <v>N/A</v>
      </c>
      <c r="Z76" s="4" t="str">
        <f t="shared" si="20"/>
        <v>N/A</v>
      </c>
      <c r="AA76" s="41">
        <v>0</v>
      </c>
      <c r="AB76" s="41">
        <v>0</v>
      </c>
      <c r="AC76" s="4" t="b">
        <v>0</v>
      </c>
    </row>
    <row r="77" spans="1:29" x14ac:dyDescent="0.3">
      <c r="A77" s="36" t="s">
        <v>403</v>
      </c>
      <c r="B77" s="16" t="s">
        <v>404</v>
      </c>
      <c r="C77" s="4" t="s">
        <v>179</v>
      </c>
      <c r="D77" s="41">
        <v>0</v>
      </c>
      <c r="E77" s="41">
        <v>0</v>
      </c>
      <c r="F77" s="42">
        <f>'03_FBA_Nivel1_Transfer'!E77+D77-E77</f>
        <v>44</v>
      </c>
      <c r="G77" s="39">
        <f>'02_Demand_Unconstraining'!R77</f>
        <v>4.1711999999999998</v>
      </c>
      <c r="H77" s="30">
        <f>'02_Demand_Unconstraining'!S77</f>
        <v>2.0909</v>
      </c>
      <c r="I77" s="29">
        <f>_xlfn.XLOOKUP($A77,tbl_Catalog[sku_id],tbl_Catalog[z_score])</f>
        <v>1.645</v>
      </c>
      <c r="J77" s="41">
        <f t="shared" si="14"/>
        <v>75</v>
      </c>
      <c r="K77" s="41">
        <f>'03_FBA_Nivel1_Transfer'!N77</f>
        <v>18</v>
      </c>
      <c r="L77" s="41">
        <f t="shared" si="15"/>
        <v>406</v>
      </c>
      <c r="M77" s="44">
        <f t="shared" si="16"/>
        <v>594</v>
      </c>
      <c r="N77" s="41">
        <f>_xlfn.CEILING.MATH(_xlfn.XLOOKUP($A77,tbl_Catalog[sku_id],tbl_Catalog[sku_moq_units])/_xlfn.XLOOKUP($A77,tbl_Catalog[sku_id],tbl_Catalog[master_carton_qty]),1)</f>
        <v>6</v>
      </c>
      <c r="O77" s="31">
        <f t="shared" si="17"/>
        <v>-86.785577291906407</v>
      </c>
      <c r="P77" s="48">
        <f>_xlfn.LET(_xlpm.ip_sys,$F77,_xlpm.rop_sys,$L77,_xlpm.s_max,$M77,_xlpm.m_qty,_xlfn.XLOOKUP($A77,tbl_Catalog[sku_id],tbl_Catalog[master_carton_qty]),_xlpm.moq,_xlfn.XLOOKUP($A77,tbl_Catalog[sku_id],tbl_Catalog[sku_moq_units]),IF(_xlpm.ip_sys&lt;=_xlpm.rop_sys,_xlfn.CEILING.MATH(MAX(_xlpm.s_max-_xlpm.ip_sys,_xlpm.moq),_xlpm.m_qty),0))</f>
        <v>550</v>
      </c>
      <c r="Q77" s="30">
        <f>IF(P77&gt;0,(P77/_xlfn.XLOOKUP($A77,tbl_Catalog[sku_id],tbl_Catalog[master_carton_qty]))*_xlfn.XLOOKUP($A77,tbl_Catalog[sku_id],tbl_Catalog[carton_volume_cbm]),0)</f>
        <v>0.65999999999999992</v>
      </c>
      <c r="R77" s="41">
        <v>0</v>
      </c>
      <c r="S77" s="41">
        <v>0</v>
      </c>
      <c r="T77" s="41">
        <f>S77*_xlfn.XLOOKUP($A77,tbl_Catalog[sku_id],tbl_Catalog[master_carton_qty])</f>
        <v>0</v>
      </c>
      <c r="U77" s="46">
        <f t="shared" si="18"/>
        <v>0</v>
      </c>
      <c r="V77" s="41">
        <f>IF(_xlfn.XLOOKUP($A77,tbl_Catalog[sku_id],tbl_Catalog[master_carton_qty])&gt;0,U77/_xlfn.XLOOKUP($A77,tbl_Catalog[sku_id],tbl_Catalog[master_carton_qty]),0)</f>
        <v>0</v>
      </c>
      <c r="W77" s="38">
        <f>V77*_xlfn.XLOOKUP($A77,tbl_Catalog[sku_id],tbl_Catalog[carton_volume_cbm])</f>
        <v>0</v>
      </c>
      <c r="X77" s="4" t="str">
        <f t="shared" si="19"/>
        <v>DEFERRED / NO PO</v>
      </c>
      <c r="Y77" s="4" t="str">
        <f>IF(U77=0,"N/A",IF(AND(MOD(U77,_xlfn.XLOOKUP($A77,tbl_Catalog[sku_id],tbl_Catalog[master_carton_qty]))=0,U77&gt;=_xlfn.XLOOKUP($A77,tbl_Catalog[sku_id],tbl_Catalog[sku_moq_units])),"MOQ OK","CHECK"))</f>
        <v>N/A</v>
      </c>
      <c r="Z77" s="4" t="str">
        <f t="shared" si="20"/>
        <v>N/A</v>
      </c>
      <c r="AA77" s="41">
        <v>300</v>
      </c>
      <c r="AB77" s="41">
        <v>10</v>
      </c>
      <c r="AC77" s="4" t="b">
        <v>0</v>
      </c>
    </row>
    <row r="78" spans="1:29" x14ac:dyDescent="0.3">
      <c r="A78" s="36" t="s">
        <v>409</v>
      </c>
      <c r="B78" s="16" t="s">
        <v>404</v>
      </c>
      <c r="C78" s="4" t="s">
        <v>188</v>
      </c>
      <c r="D78" s="41">
        <v>23</v>
      </c>
      <c r="E78" s="41">
        <v>0</v>
      </c>
      <c r="F78" s="42">
        <f>'03_FBA_Nivel1_Transfer'!E78+D78-E78</f>
        <v>50</v>
      </c>
      <c r="G78" s="39">
        <f>'02_Demand_Unconstraining'!R78</f>
        <v>1.4333</v>
      </c>
      <c r="H78" s="30">
        <f>'02_Demand_Unconstraining'!S78</f>
        <v>1.2951999999999999</v>
      </c>
      <c r="I78" s="29">
        <f>_xlfn.XLOOKUP($A78,tbl_Catalog[sku_id],tbl_Catalog[z_score])</f>
        <v>1.282</v>
      </c>
      <c r="J78" s="41">
        <f t="shared" si="14"/>
        <v>24</v>
      </c>
      <c r="K78" s="41">
        <f>'03_FBA_Nivel1_Transfer'!N78</f>
        <v>7</v>
      </c>
      <c r="L78" s="41">
        <f t="shared" si="15"/>
        <v>139</v>
      </c>
      <c r="M78" s="44">
        <f t="shared" si="16"/>
        <v>203</v>
      </c>
      <c r="N78" s="41">
        <f>_xlfn.CEILING.MATH(_xlfn.XLOOKUP($A78,tbl_Catalog[sku_id],tbl_Catalog[sku_moq_units])/_xlfn.XLOOKUP($A78,tbl_Catalog[sku_id],tbl_Catalog[master_carton_qty]),1)</f>
        <v>6</v>
      </c>
      <c r="O78" s="31">
        <f t="shared" si="17"/>
        <v>-62.094467313193327</v>
      </c>
      <c r="P78" s="48">
        <f>_xlfn.LET(_xlpm.ip_sys,$F78,_xlpm.rop_sys,$L78,_xlpm.s_max,$M78,_xlpm.m_qty,_xlfn.XLOOKUP($A78,tbl_Catalog[sku_id],tbl_Catalog[master_carton_qty]),_xlpm.moq,_xlfn.XLOOKUP($A78,tbl_Catalog[sku_id],tbl_Catalog[sku_moq_units]),IF(_xlpm.ip_sys&lt;=_xlpm.rop_sys,_xlfn.CEILING.MATH(MAX(_xlpm.s_max-_xlpm.ip_sys,_xlpm.moq),_xlpm.m_qty),0))</f>
        <v>300</v>
      </c>
      <c r="Q78" s="30">
        <f>IF(P78&gt;0,(P78/_xlfn.XLOOKUP($A78,tbl_Catalog[sku_id],tbl_Catalog[master_carton_qty]))*_xlfn.XLOOKUP($A78,tbl_Catalog[sku_id],tbl_Catalog[carton_volume_cbm]),0)</f>
        <v>0.36</v>
      </c>
      <c r="R78" s="41">
        <v>0</v>
      </c>
      <c r="S78" s="41">
        <v>0</v>
      </c>
      <c r="T78" s="41">
        <f>S78*_xlfn.XLOOKUP($A78,tbl_Catalog[sku_id],tbl_Catalog[master_carton_qty])</f>
        <v>0</v>
      </c>
      <c r="U78" s="46">
        <f t="shared" si="18"/>
        <v>0</v>
      </c>
      <c r="V78" s="41">
        <f>IF(_xlfn.XLOOKUP($A78,tbl_Catalog[sku_id],tbl_Catalog[master_carton_qty])&gt;0,U78/_xlfn.XLOOKUP($A78,tbl_Catalog[sku_id],tbl_Catalog[master_carton_qty]),0)</f>
        <v>0</v>
      </c>
      <c r="W78" s="38">
        <f>V78*_xlfn.XLOOKUP($A78,tbl_Catalog[sku_id],tbl_Catalog[carton_volume_cbm])</f>
        <v>0</v>
      </c>
      <c r="X78" s="4" t="str">
        <f t="shared" si="19"/>
        <v>DEFERRED / NO PO</v>
      </c>
      <c r="Y78" s="4" t="str">
        <f>IF(U78=0,"N/A",IF(AND(MOD(U78,_xlfn.XLOOKUP($A78,tbl_Catalog[sku_id],tbl_Catalog[master_carton_qty]))=0,U78&gt;=_xlfn.XLOOKUP($A78,tbl_Catalog[sku_id],tbl_Catalog[sku_moq_units])),"MOQ OK","CHECK"))</f>
        <v>N/A</v>
      </c>
      <c r="Z78" s="4" t="str">
        <f t="shared" si="20"/>
        <v>N/A</v>
      </c>
      <c r="AA78" s="41">
        <v>300</v>
      </c>
      <c r="AB78" s="41">
        <v>6</v>
      </c>
      <c r="AC78" s="4" t="b">
        <v>0</v>
      </c>
    </row>
    <row r="79" spans="1:29" x14ac:dyDescent="0.3">
      <c r="A79" s="36" t="s">
        <v>412</v>
      </c>
      <c r="B79" s="16" t="s">
        <v>404</v>
      </c>
      <c r="C79" s="4" t="s">
        <v>188</v>
      </c>
      <c r="D79" s="41">
        <v>160</v>
      </c>
      <c r="E79" s="41">
        <v>0</v>
      </c>
      <c r="F79" s="42">
        <f>'03_FBA_Nivel1_Transfer'!E79+D79-E79</f>
        <v>221</v>
      </c>
      <c r="G79" s="39">
        <f>'02_Demand_Unconstraining'!R79</f>
        <v>1.7334000000000001</v>
      </c>
      <c r="H79" s="30">
        <f>'02_Demand_Unconstraining'!S79</f>
        <v>1.6980999999999999</v>
      </c>
      <c r="I79" s="29">
        <f>_xlfn.XLOOKUP($A79,tbl_Catalog[sku_id],tbl_Catalog[z_score])</f>
        <v>1.282</v>
      </c>
      <c r="J79" s="41">
        <f t="shared" si="14"/>
        <v>30</v>
      </c>
      <c r="K79" s="41">
        <f>'03_FBA_Nivel1_Transfer'!N79</f>
        <v>9</v>
      </c>
      <c r="L79" s="41">
        <f t="shared" si="15"/>
        <v>170</v>
      </c>
      <c r="M79" s="44">
        <f t="shared" si="16"/>
        <v>248</v>
      </c>
      <c r="N79" s="41">
        <f>_xlfn.CEILING.MATH(_xlfn.XLOOKUP($A79,tbl_Catalog[sku_id],tbl_Catalog[sku_moq_units])/_xlfn.XLOOKUP($A79,tbl_Catalog[sku_id],tbl_Catalog[master_carton_qty]),1)</f>
        <v>6</v>
      </c>
      <c r="O79" s="31">
        <f t="shared" si="17"/>
        <v>29.421945309795777</v>
      </c>
      <c r="P79" s="48">
        <f>_xlfn.LET(_xlpm.ip_sys,$F79,_xlpm.rop_sys,$L79,_xlpm.s_max,$M79,_xlpm.m_qty,_xlfn.XLOOKUP($A79,tbl_Catalog[sku_id],tbl_Catalog[master_carton_qty]),_xlpm.moq,_xlfn.XLOOKUP($A79,tbl_Catalog[sku_id],tbl_Catalog[sku_moq_units]),IF(_xlpm.ip_sys&lt;=_xlpm.rop_sys,_xlfn.CEILING.MATH(MAX(_xlpm.s_max-_xlpm.ip_sys,_xlpm.moq),_xlpm.m_qty),0))</f>
        <v>0</v>
      </c>
      <c r="Q79" s="30">
        <f>IF(P79&gt;0,(P79/_xlfn.XLOOKUP($A79,tbl_Catalog[sku_id],tbl_Catalog[master_carton_qty]))*_xlfn.XLOOKUP($A79,tbl_Catalog[sku_id],tbl_Catalog[carton_volume_cbm]),0)</f>
        <v>0</v>
      </c>
      <c r="R79" s="41">
        <v>0</v>
      </c>
      <c r="S79" s="41">
        <v>0</v>
      </c>
      <c r="T79" s="41">
        <f>S79*_xlfn.XLOOKUP($A79,tbl_Catalog[sku_id],tbl_Catalog[master_carton_qty])</f>
        <v>0</v>
      </c>
      <c r="U79" s="46">
        <f t="shared" si="18"/>
        <v>0</v>
      </c>
      <c r="V79" s="41">
        <f>IF(_xlfn.XLOOKUP($A79,tbl_Catalog[sku_id],tbl_Catalog[master_carton_qty])&gt;0,U79/_xlfn.XLOOKUP($A79,tbl_Catalog[sku_id],tbl_Catalog[master_carton_qty]),0)</f>
        <v>0</v>
      </c>
      <c r="W79" s="38">
        <f>V79*_xlfn.XLOOKUP($A79,tbl_Catalog[sku_id],tbl_Catalog[carton_volume_cbm])</f>
        <v>0</v>
      </c>
      <c r="X79" s="4" t="str">
        <f t="shared" si="19"/>
        <v>DEFERRED / NO PO</v>
      </c>
      <c r="Y79" s="4" t="str">
        <f>IF(U79=0,"N/A",IF(AND(MOD(U79,_xlfn.XLOOKUP($A79,tbl_Catalog[sku_id],tbl_Catalog[master_carton_qty]))=0,U79&gt;=_xlfn.XLOOKUP($A79,tbl_Catalog[sku_id],tbl_Catalog[sku_moq_units])),"MOQ OK","CHECK"))</f>
        <v>N/A</v>
      </c>
      <c r="Z79" s="4" t="str">
        <f t="shared" si="20"/>
        <v>N/A</v>
      </c>
      <c r="AA79" s="41">
        <v>0</v>
      </c>
      <c r="AB79" s="41">
        <v>0</v>
      </c>
      <c r="AC79" s="4" t="b">
        <v>0</v>
      </c>
    </row>
    <row r="80" spans="1:29" x14ac:dyDescent="0.3">
      <c r="A80" s="36" t="s">
        <v>415</v>
      </c>
      <c r="B80" s="16" t="s">
        <v>404</v>
      </c>
      <c r="C80" s="4" t="s">
        <v>188</v>
      </c>
      <c r="D80" s="41">
        <v>64</v>
      </c>
      <c r="E80" s="41">
        <v>0</v>
      </c>
      <c r="F80" s="42">
        <f>'03_FBA_Nivel1_Transfer'!E80+D80-E80</f>
        <v>127</v>
      </c>
      <c r="G80" s="39">
        <f>'02_Demand_Unconstraining'!R80</f>
        <v>1</v>
      </c>
      <c r="H80" s="30">
        <f>'02_Demand_Unconstraining'!S80</f>
        <v>0.90580000000000005</v>
      </c>
      <c r="I80" s="29">
        <f>_xlfn.XLOOKUP($A80,tbl_Catalog[sku_id],tbl_Catalog[z_score])</f>
        <v>1.282</v>
      </c>
      <c r="J80" s="41">
        <f t="shared" si="14"/>
        <v>17</v>
      </c>
      <c r="K80" s="41">
        <f>'03_FBA_Nivel1_Transfer'!N80</f>
        <v>5</v>
      </c>
      <c r="L80" s="41">
        <f t="shared" si="15"/>
        <v>97</v>
      </c>
      <c r="M80" s="44">
        <f t="shared" si="16"/>
        <v>142</v>
      </c>
      <c r="N80" s="41">
        <f>_xlfn.CEILING.MATH(_xlfn.XLOOKUP($A80,tbl_Catalog[sku_id],tbl_Catalog[sku_moq_units])/_xlfn.XLOOKUP($A80,tbl_Catalog[sku_id],tbl_Catalog[master_carton_qty]),1)</f>
        <v>6</v>
      </c>
      <c r="O80" s="31">
        <f t="shared" si="17"/>
        <v>30</v>
      </c>
      <c r="P80" s="48">
        <f>_xlfn.LET(_xlpm.ip_sys,$F80,_xlpm.rop_sys,$L80,_xlpm.s_max,$M80,_xlpm.m_qty,_xlfn.XLOOKUP($A80,tbl_Catalog[sku_id],tbl_Catalog[master_carton_qty]),_xlpm.moq,_xlfn.XLOOKUP($A80,tbl_Catalog[sku_id],tbl_Catalog[sku_moq_units]),IF(_xlpm.ip_sys&lt;=_xlpm.rop_sys,_xlfn.CEILING.MATH(MAX(_xlpm.s_max-_xlpm.ip_sys,_xlpm.moq),_xlpm.m_qty),0))</f>
        <v>0</v>
      </c>
      <c r="Q80" s="30">
        <f>IF(P80&gt;0,(P80/_xlfn.XLOOKUP($A80,tbl_Catalog[sku_id],tbl_Catalog[master_carton_qty]))*_xlfn.XLOOKUP($A80,tbl_Catalog[sku_id],tbl_Catalog[carton_volume_cbm]),0)</f>
        <v>0</v>
      </c>
      <c r="R80" s="41">
        <v>0</v>
      </c>
      <c r="S80" s="41">
        <v>0</v>
      </c>
      <c r="T80" s="41">
        <f>S80*_xlfn.XLOOKUP($A80,tbl_Catalog[sku_id],tbl_Catalog[master_carton_qty])</f>
        <v>0</v>
      </c>
      <c r="U80" s="46">
        <f t="shared" si="18"/>
        <v>0</v>
      </c>
      <c r="V80" s="41">
        <f>IF(_xlfn.XLOOKUP($A80,tbl_Catalog[sku_id],tbl_Catalog[master_carton_qty])&gt;0,U80/_xlfn.XLOOKUP($A80,tbl_Catalog[sku_id],tbl_Catalog[master_carton_qty]),0)</f>
        <v>0</v>
      </c>
      <c r="W80" s="38">
        <f>V80*_xlfn.XLOOKUP($A80,tbl_Catalog[sku_id],tbl_Catalog[carton_volume_cbm])</f>
        <v>0</v>
      </c>
      <c r="X80" s="4" t="str">
        <f t="shared" si="19"/>
        <v>DEFERRED / NO PO</v>
      </c>
      <c r="Y80" s="4" t="str">
        <f>IF(U80=0,"N/A",IF(AND(MOD(U80,_xlfn.XLOOKUP($A80,tbl_Catalog[sku_id],tbl_Catalog[master_carton_qty]))=0,U80&gt;=_xlfn.XLOOKUP($A80,tbl_Catalog[sku_id],tbl_Catalog[sku_moq_units])),"MOQ OK","CHECK"))</f>
        <v>N/A</v>
      </c>
      <c r="Z80" s="4" t="str">
        <f t="shared" si="20"/>
        <v>N/A</v>
      </c>
      <c r="AA80" s="41">
        <v>0</v>
      </c>
      <c r="AB80" s="41">
        <v>0</v>
      </c>
      <c r="AC80" s="4" t="b">
        <v>0</v>
      </c>
    </row>
    <row r="81" spans="1:29" x14ac:dyDescent="0.3">
      <c r="A81" s="36" t="s">
        <v>418</v>
      </c>
      <c r="B81" s="16" t="s">
        <v>404</v>
      </c>
      <c r="C81" s="4" t="s">
        <v>188</v>
      </c>
      <c r="D81" s="41">
        <v>5</v>
      </c>
      <c r="E81" s="41">
        <v>0</v>
      </c>
      <c r="F81" s="42">
        <f>'03_FBA_Nivel1_Transfer'!E81+D81-E81</f>
        <v>77</v>
      </c>
      <c r="G81" s="39">
        <f>'02_Demand_Unconstraining'!R81</f>
        <v>1.1333</v>
      </c>
      <c r="H81" s="30">
        <f>'02_Demand_Unconstraining'!S81</f>
        <v>0.96830000000000005</v>
      </c>
      <c r="I81" s="29">
        <f>_xlfn.XLOOKUP($A81,tbl_Catalog[sku_id],tbl_Catalog[z_score])</f>
        <v>1.282</v>
      </c>
      <c r="J81" s="41">
        <f t="shared" si="14"/>
        <v>19</v>
      </c>
      <c r="K81" s="41">
        <f>'03_FBA_Nivel1_Transfer'!N81</f>
        <v>5</v>
      </c>
      <c r="L81" s="41">
        <f t="shared" si="15"/>
        <v>109</v>
      </c>
      <c r="M81" s="44">
        <f t="shared" si="16"/>
        <v>160</v>
      </c>
      <c r="N81" s="41">
        <f>_xlfn.CEILING.MATH(_xlfn.XLOOKUP($A81,tbl_Catalog[sku_id],tbl_Catalog[sku_moq_units])/_xlfn.XLOOKUP($A81,tbl_Catalog[sku_id],tbl_Catalog[master_carton_qty]),1)</f>
        <v>6</v>
      </c>
      <c r="O81" s="31">
        <f t="shared" si="17"/>
        <v>-28.236124591899763</v>
      </c>
      <c r="P81" s="48">
        <f>_xlfn.LET(_xlpm.ip_sys,$F81,_xlpm.rop_sys,$L81,_xlpm.s_max,$M81,_xlpm.m_qty,_xlfn.XLOOKUP($A81,tbl_Catalog[sku_id],tbl_Catalog[master_carton_qty]),_xlpm.moq,_xlfn.XLOOKUP($A81,tbl_Catalog[sku_id],tbl_Catalog[sku_moq_units]),IF(_xlpm.ip_sys&lt;=_xlpm.rop_sys,_xlfn.CEILING.MATH(MAX(_xlpm.s_max-_xlpm.ip_sys,_xlpm.moq),_xlpm.m_qty),0))</f>
        <v>300</v>
      </c>
      <c r="Q81" s="30">
        <f>IF(P81&gt;0,(P81/_xlfn.XLOOKUP($A81,tbl_Catalog[sku_id],tbl_Catalog[master_carton_qty]))*_xlfn.XLOOKUP($A81,tbl_Catalog[sku_id],tbl_Catalog[carton_volume_cbm]),0)</f>
        <v>0.36</v>
      </c>
      <c r="R81" s="41">
        <v>0</v>
      </c>
      <c r="S81" s="41">
        <v>0</v>
      </c>
      <c r="T81" s="41">
        <f>S81*_xlfn.XLOOKUP($A81,tbl_Catalog[sku_id],tbl_Catalog[master_carton_qty])</f>
        <v>0</v>
      </c>
      <c r="U81" s="46">
        <f t="shared" si="18"/>
        <v>0</v>
      </c>
      <c r="V81" s="41">
        <f>IF(_xlfn.XLOOKUP($A81,tbl_Catalog[sku_id],tbl_Catalog[master_carton_qty])&gt;0,U81/_xlfn.XLOOKUP($A81,tbl_Catalog[sku_id],tbl_Catalog[master_carton_qty]),0)</f>
        <v>0</v>
      </c>
      <c r="W81" s="38">
        <f>V81*_xlfn.XLOOKUP($A81,tbl_Catalog[sku_id],tbl_Catalog[carton_volume_cbm])</f>
        <v>0</v>
      </c>
      <c r="X81" s="4" t="str">
        <f t="shared" si="19"/>
        <v>DEFERRED / NO PO</v>
      </c>
      <c r="Y81" s="4" t="str">
        <f>IF(U81=0,"N/A",IF(AND(MOD(U81,_xlfn.XLOOKUP($A81,tbl_Catalog[sku_id],tbl_Catalog[master_carton_qty]))=0,U81&gt;=_xlfn.XLOOKUP($A81,tbl_Catalog[sku_id],tbl_Catalog[sku_moq_units])),"MOQ OK","CHECK"))</f>
        <v>N/A</v>
      </c>
      <c r="Z81" s="4" t="str">
        <f t="shared" si="20"/>
        <v>N/A</v>
      </c>
      <c r="AA81" s="41">
        <v>300</v>
      </c>
      <c r="AB81" s="41">
        <v>6</v>
      </c>
      <c r="AC81" s="4" t="b">
        <v>0</v>
      </c>
    </row>
    <row r="82" spans="1:29" x14ac:dyDescent="0.3">
      <c r="A82" s="36" t="s">
        <v>421</v>
      </c>
      <c r="B82" s="16" t="s">
        <v>404</v>
      </c>
      <c r="C82" s="4" t="s">
        <v>188</v>
      </c>
      <c r="D82" s="41">
        <v>288</v>
      </c>
      <c r="E82" s="41">
        <v>0</v>
      </c>
      <c r="F82" s="42">
        <f>'03_FBA_Nivel1_Transfer'!E82+D82-E82</f>
        <v>288</v>
      </c>
      <c r="G82" s="39">
        <f>'02_Demand_Unconstraining'!R82</f>
        <v>0.44969999999999999</v>
      </c>
      <c r="H82" s="30">
        <f>'02_Demand_Unconstraining'!S82</f>
        <v>0.26469999999999999</v>
      </c>
      <c r="I82" s="29">
        <f>_xlfn.XLOOKUP($A82,tbl_Catalog[sku_id],tbl_Catalog[z_score])</f>
        <v>1.282</v>
      </c>
      <c r="J82" s="41">
        <f t="shared" si="14"/>
        <v>7</v>
      </c>
      <c r="K82" s="41">
        <f>'03_FBA_Nivel1_Transfer'!N82</f>
        <v>2</v>
      </c>
      <c r="L82" s="41">
        <f t="shared" si="15"/>
        <v>43</v>
      </c>
      <c r="M82" s="44">
        <f t="shared" si="16"/>
        <v>63</v>
      </c>
      <c r="N82" s="41">
        <f>_xlfn.CEILING.MATH(_xlfn.XLOOKUP($A82,tbl_Catalog[sku_id],tbl_Catalog[sku_moq_units])/_xlfn.XLOOKUP($A82,tbl_Catalog[sku_id],tbl_Catalog[master_carton_qty]),1)</f>
        <v>6</v>
      </c>
      <c r="O82" s="31">
        <f t="shared" si="17"/>
        <v>544.80764954414053</v>
      </c>
      <c r="P82" s="48">
        <f>_xlfn.LET(_xlpm.ip_sys,$F82,_xlpm.rop_sys,$L82,_xlpm.s_max,$M82,_xlpm.m_qty,_xlfn.XLOOKUP($A82,tbl_Catalog[sku_id],tbl_Catalog[master_carton_qty]),_xlpm.moq,_xlfn.XLOOKUP($A82,tbl_Catalog[sku_id],tbl_Catalog[sku_moq_units]),IF(_xlpm.ip_sys&lt;=_xlpm.rop_sys,_xlfn.CEILING.MATH(MAX(_xlpm.s_max-_xlpm.ip_sys,_xlpm.moq),_xlpm.m_qty),0))</f>
        <v>0</v>
      </c>
      <c r="Q82" s="30">
        <f>IF(P82&gt;0,(P82/_xlfn.XLOOKUP($A82,tbl_Catalog[sku_id],tbl_Catalog[master_carton_qty]))*_xlfn.XLOOKUP($A82,tbl_Catalog[sku_id],tbl_Catalog[carton_volume_cbm]),0)</f>
        <v>0</v>
      </c>
      <c r="R82" s="41">
        <v>0</v>
      </c>
      <c r="S82" s="41">
        <v>0</v>
      </c>
      <c r="T82" s="41">
        <f>S82*_xlfn.XLOOKUP($A82,tbl_Catalog[sku_id],tbl_Catalog[master_carton_qty])</f>
        <v>0</v>
      </c>
      <c r="U82" s="46">
        <f t="shared" si="18"/>
        <v>0</v>
      </c>
      <c r="V82" s="41">
        <f>IF(_xlfn.XLOOKUP($A82,tbl_Catalog[sku_id],tbl_Catalog[master_carton_qty])&gt;0,U82/_xlfn.XLOOKUP($A82,tbl_Catalog[sku_id],tbl_Catalog[master_carton_qty]),0)</f>
        <v>0</v>
      </c>
      <c r="W82" s="38">
        <f>V82*_xlfn.XLOOKUP($A82,tbl_Catalog[sku_id],tbl_Catalog[carton_volume_cbm])</f>
        <v>0</v>
      </c>
      <c r="X82" s="4" t="str">
        <f t="shared" si="19"/>
        <v>DEFERRED / NO PO</v>
      </c>
      <c r="Y82" s="4" t="str">
        <f>IF(U82=0,"N/A",IF(AND(MOD(U82,_xlfn.XLOOKUP($A82,tbl_Catalog[sku_id],tbl_Catalog[master_carton_qty]))=0,U82&gt;=_xlfn.XLOOKUP($A82,tbl_Catalog[sku_id],tbl_Catalog[sku_moq_units])),"MOQ OK","CHECK"))</f>
        <v>N/A</v>
      </c>
      <c r="Z82" s="4" t="str">
        <f t="shared" si="20"/>
        <v>N/A</v>
      </c>
      <c r="AA82" s="41">
        <v>0</v>
      </c>
      <c r="AB82" s="41">
        <v>0</v>
      </c>
      <c r="AC82" s="4" t="b">
        <v>0</v>
      </c>
    </row>
    <row r="83" spans="1:29" x14ac:dyDescent="0.3">
      <c r="A83" s="36" t="s">
        <v>424</v>
      </c>
      <c r="B83" s="16" t="s">
        <v>404</v>
      </c>
      <c r="C83" s="4" t="s">
        <v>188</v>
      </c>
      <c r="D83" s="41">
        <v>71</v>
      </c>
      <c r="E83" s="41">
        <v>0</v>
      </c>
      <c r="F83" s="42">
        <f>'03_FBA_Nivel1_Transfer'!E83+D83-E83</f>
        <v>127</v>
      </c>
      <c r="G83" s="39">
        <f>'02_Demand_Unconstraining'!R83</f>
        <v>0.83340000000000003</v>
      </c>
      <c r="H83" s="30">
        <f>'02_Demand_Unconstraining'!S83</f>
        <v>0.84550000000000003</v>
      </c>
      <c r="I83" s="29">
        <f>_xlfn.XLOOKUP($A83,tbl_Catalog[sku_id],tbl_Catalog[z_score])</f>
        <v>1.282</v>
      </c>
      <c r="J83" s="41">
        <f t="shared" si="14"/>
        <v>15</v>
      </c>
      <c r="K83" s="41">
        <f>'03_FBA_Nivel1_Transfer'!N83</f>
        <v>5</v>
      </c>
      <c r="L83" s="41">
        <f t="shared" si="15"/>
        <v>83</v>
      </c>
      <c r="M83" s="44">
        <f t="shared" si="16"/>
        <v>121</v>
      </c>
      <c r="N83" s="41">
        <f>_xlfn.CEILING.MATH(_xlfn.XLOOKUP($A83,tbl_Catalog[sku_id],tbl_Catalog[sku_moq_units])/_xlfn.XLOOKUP($A83,tbl_Catalog[sku_id],tbl_Catalog[master_carton_qty]),1)</f>
        <v>6</v>
      </c>
      <c r="O83" s="31">
        <f t="shared" si="17"/>
        <v>52.795776337892967</v>
      </c>
      <c r="P83" s="48">
        <f>_xlfn.LET(_xlpm.ip_sys,$F83,_xlpm.rop_sys,$L83,_xlpm.s_max,$M83,_xlpm.m_qty,_xlfn.XLOOKUP($A83,tbl_Catalog[sku_id],tbl_Catalog[master_carton_qty]),_xlpm.moq,_xlfn.XLOOKUP($A83,tbl_Catalog[sku_id],tbl_Catalog[sku_moq_units]),IF(_xlpm.ip_sys&lt;=_xlpm.rop_sys,_xlfn.CEILING.MATH(MAX(_xlpm.s_max-_xlpm.ip_sys,_xlpm.moq),_xlpm.m_qty),0))</f>
        <v>0</v>
      </c>
      <c r="Q83" s="30">
        <f>IF(P83&gt;0,(P83/_xlfn.XLOOKUP($A83,tbl_Catalog[sku_id],tbl_Catalog[master_carton_qty]))*_xlfn.XLOOKUP($A83,tbl_Catalog[sku_id],tbl_Catalog[carton_volume_cbm]),0)</f>
        <v>0</v>
      </c>
      <c r="R83" s="41">
        <v>0</v>
      </c>
      <c r="S83" s="41">
        <v>0</v>
      </c>
      <c r="T83" s="41">
        <f>S83*_xlfn.XLOOKUP($A83,tbl_Catalog[sku_id],tbl_Catalog[master_carton_qty])</f>
        <v>0</v>
      </c>
      <c r="U83" s="46">
        <f t="shared" si="18"/>
        <v>0</v>
      </c>
      <c r="V83" s="41">
        <f>IF(_xlfn.XLOOKUP($A83,tbl_Catalog[sku_id],tbl_Catalog[master_carton_qty])&gt;0,U83/_xlfn.XLOOKUP($A83,tbl_Catalog[sku_id],tbl_Catalog[master_carton_qty]),0)</f>
        <v>0</v>
      </c>
      <c r="W83" s="38">
        <f>V83*_xlfn.XLOOKUP($A83,tbl_Catalog[sku_id],tbl_Catalog[carton_volume_cbm])</f>
        <v>0</v>
      </c>
      <c r="X83" s="4" t="str">
        <f t="shared" si="19"/>
        <v>DEFERRED / NO PO</v>
      </c>
      <c r="Y83" s="4" t="str">
        <f>IF(U83=0,"N/A",IF(AND(MOD(U83,_xlfn.XLOOKUP($A83,tbl_Catalog[sku_id],tbl_Catalog[master_carton_qty]))=0,U83&gt;=_xlfn.XLOOKUP($A83,tbl_Catalog[sku_id],tbl_Catalog[sku_moq_units])),"MOQ OK","CHECK"))</f>
        <v>N/A</v>
      </c>
      <c r="Z83" s="4" t="str">
        <f t="shared" si="20"/>
        <v>N/A</v>
      </c>
      <c r="AA83" s="41">
        <v>0</v>
      </c>
      <c r="AB83" s="41">
        <v>0</v>
      </c>
      <c r="AC83" s="4" t="b">
        <v>0</v>
      </c>
    </row>
    <row r="84" spans="1:29" x14ac:dyDescent="0.3">
      <c r="A84" s="36" t="s">
        <v>427</v>
      </c>
      <c r="B84" s="16" t="s">
        <v>404</v>
      </c>
      <c r="C84" s="4" t="s">
        <v>188</v>
      </c>
      <c r="D84" s="41">
        <v>233</v>
      </c>
      <c r="E84" s="41">
        <v>0</v>
      </c>
      <c r="F84" s="42">
        <f>'03_FBA_Nivel1_Transfer'!E84+D84-E84</f>
        <v>233</v>
      </c>
      <c r="G84" s="39">
        <f>'02_Demand_Unconstraining'!R84</f>
        <v>0.4405</v>
      </c>
      <c r="H84" s="30">
        <f>'02_Demand_Unconstraining'!S84</f>
        <v>0.4521</v>
      </c>
      <c r="I84" s="29">
        <f>_xlfn.XLOOKUP($A84,tbl_Catalog[sku_id],tbl_Catalog[z_score])</f>
        <v>1.282</v>
      </c>
      <c r="J84" s="41">
        <f t="shared" si="14"/>
        <v>8</v>
      </c>
      <c r="K84" s="41">
        <f>'03_FBA_Nivel1_Transfer'!N84</f>
        <v>3</v>
      </c>
      <c r="L84" s="41">
        <f t="shared" si="15"/>
        <v>45</v>
      </c>
      <c r="M84" s="44">
        <f t="shared" si="16"/>
        <v>64</v>
      </c>
      <c r="N84" s="41">
        <f>_xlfn.CEILING.MATH(_xlfn.XLOOKUP($A84,tbl_Catalog[sku_id],tbl_Catalog[sku_moq_units])/_xlfn.XLOOKUP($A84,tbl_Catalog[sku_id],tbl_Catalog[master_carton_qty]),1)</f>
        <v>6</v>
      </c>
      <c r="O84" s="31">
        <f t="shared" si="17"/>
        <v>426.7877412031782</v>
      </c>
      <c r="P84" s="48">
        <f>_xlfn.LET(_xlpm.ip_sys,$F84,_xlpm.rop_sys,$L84,_xlpm.s_max,$M84,_xlpm.m_qty,_xlfn.XLOOKUP($A84,tbl_Catalog[sku_id],tbl_Catalog[master_carton_qty]),_xlpm.moq,_xlfn.XLOOKUP($A84,tbl_Catalog[sku_id],tbl_Catalog[sku_moq_units]),IF(_xlpm.ip_sys&lt;=_xlpm.rop_sys,_xlfn.CEILING.MATH(MAX(_xlpm.s_max-_xlpm.ip_sys,_xlpm.moq),_xlpm.m_qty),0))</f>
        <v>0</v>
      </c>
      <c r="Q84" s="30">
        <f>IF(P84&gt;0,(P84/_xlfn.XLOOKUP($A84,tbl_Catalog[sku_id],tbl_Catalog[master_carton_qty]))*_xlfn.XLOOKUP($A84,tbl_Catalog[sku_id],tbl_Catalog[carton_volume_cbm]),0)</f>
        <v>0</v>
      </c>
      <c r="R84" s="41">
        <v>0</v>
      </c>
      <c r="S84" s="41">
        <v>0</v>
      </c>
      <c r="T84" s="41">
        <f>S84*_xlfn.XLOOKUP($A84,tbl_Catalog[sku_id],tbl_Catalog[master_carton_qty])</f>
        <v>0</v>
      </c>
      <c r="U84" s="46">
        <f t="shared" si="18"/>
        <v>0</v>
      </c>
      <c r="V84" s="41">
        <f>IF(_xlfn.XLOOKUP($A84,tbl_Catalog[sku_id],tbl_Catalog[master_carton_qty])&gt;0,U84/_xlfn.XLOOKUP($A84,tbl_Catalog[sku_id],tbl_Catalog[master_carton_qty]),0)</f>
        <v>0</v>
      </c>
      <c r="W84" s="38">
        <f>V84*_xlfn.XLOOKUP($A84,tbl_Catalog[sku_id],tbl_Catalog[carton_volume_cbm])</f>
        <v>0</v>
      </c>
      <c r="X84" s="4" t="str">
        <f t="shared" si="19"/>
        <v>DEFERRED / NO PO</v>
      </c>
      <c r="Y84" s="4" t="str">
        <f>IF(U84=0,"N/A",IF(AND(MOD(U84,_xlfn.XLOOKUP($A84,tbl_Catalog[sku_id],tbl_Catalog[master_carton_qty]))=0,U84&gt;=_xlfn.XLOOKUP($A84,tbl_Catalog[sku_id],tbl_Catalog[sku_moq_units])),"MOQ OK","CHECK"))</f>
        <v>N/A</v>
      </c>
      <c r="Z84" s="4" t="str">
        <f t="shared" si="20"/>
        <v>N/A</v>
      </c>
      <c r="AA84" s="41">
        <v>0</v>
      </c>
      <c r="AB84" s="41">
        <v>0</v>
      </c>
      <c r="AC84" s="4" t="b">
        <v>0</v>
      </c>
    </row>
    <row r="85" spans="1:29" x14ac:dyDescent="0.3">
      <c r="A85" s="36" t="s">
        <v>430</v>
      </c>
      <c r="B85" s="16" t="s">
        <v>404</v>
      </c>
      <c r="C85" s="4" t="s">
        <v>188</v>
      </c>
      <c r="D85" s="41">
        <v>266</v>
      </c>
      <c r="E85" s="41">
        <v>0</v>
      </c>
      <c r="F85" s="42">
        <f>'03_FBA_Nivel1_Transfer'!E85+D85-E85</f>
        <v>266</v>
      </c>
      <c r="G85" s="39">
        <f>'02_Demand_Unconstraining'!R85</f>
        <v>0.77470000000000006</v>
      </c>
      <c r="H85" s="30">
        <f>'02_Demand_Unconstraining'!S85</f>
        <v>0.62570000000000003</v>
      </c>
      <c r="I85" s="29">
        <f>_xlfn.XLOOKUP($A85,tbl_Catalog[sku_id],tbl_Catalog[z_score])</f>
        <v>1.282</v>
      </c>
      <c r="J85" s="41">
        <f t="shared" si="14"/>
        <v>13</v>
      </c>
      <c r="K85" s="41">
        <f>'03_FBA_Nivel1_Transfer'!N85</f>
        <v>2</v>
      </c>
      <c r="L85" s="41">
        <f t="shared" si="15"/>
        <v>74</v>
      </c>
      <c r="M85" s="44">
        <f t="shared" si="16"/>
        <v>108</v>
      </c>
      <c r="N85" s="41">
        <f>_xlfn.CEILING.MATH(_xlfn.XLOOKUP($A85,tbl_Catalog[sku_id],tbl_Catalog[sku_moq_units])/_xlfn.XLOOKUP($A85,tbl_Catalog[sku_id],tbl_Catalog[master_carton_qty]),1)</f>
        <v>6</v>
      </c>
      <c r="O85" s="31">
        <f t="shared" si="17"/>
        <v>247.83787272492577</v>
      </c>
      <c r="P85" s="48">
        <f>_xlfn.LET(_xlpm.ip_sys,$F85,_xlpm.rop_sys,$L85,_xlpm.s_max,$M85,_xlpm.m_qty,_xlfn.XLOOKUP($A85,tbl_Catalog[sku_id],tbl_Catalog[master_carton_qty]),_xlpm.moq,_xlfn.XLOOKUP($A85,tbl_Catalog[sku_id],tbl_Catalog[sku_moq_units]),IF(_xlpm.ip_sys&lt;=_xlpm.rop_sys,_xlfn.CEILING.MATH(MAX(_xlpm.s_max-_xlpm.ip_sys,_xlpm.moq),_xlpm.m_qty),0))</f>
        <v>0</v>
      </c>
      <c r="Q85" s="30">
        <f>IF(P85&gt;0,(P85/_xlfn.XLOOKUP($A85,tbl_Catalog[sku_id],tbl_Catalog[master_carton_qty]))*_xlfn.XLOOKUP($A85,tbl_Catalog[sku_id],tbl_Catalog[carton_volume_cbm]),0)</f>
        <v>0</v>
      </c>
      <c r="R85" s="41">
        <v>0</v>
      </c>
      <c r="S85" s="41">
        <v>0</v>
      </c>
      <c r="T85" s="41">
        <f>S85*_xlfn.XLOOKUP($A85,tbl_Catalog[sku_id],tbl_Catalog[master_carton_qty])</f>
        <v>0</v>
      </c>
      <c r="U85" s="46">
        <f t="shared" si="18"/>
        <v>0</v>
      </c>
      <c r="V85" s="41">
        <f>IF(_xlfn.XLOOKUP($A85,tbl_Catalog[sku_id],tbl_Catalog[master_carton_qty])&gt;0,U85/_xlfn.XLOOKUP($A85,tbl_Catalog[sku_id],tbl_Catalog[master_carton_qty]),0)</f>
        <v>0</v>
      </c>
      <c r="W85" s="38">
        <f>V85*_xlfn.XLOOKUP($A85,tbl_Catalog[sku_id],tbl_Catalog[carton_volume_cbm])</f>
        <v>0</v>
      </c>
      <c r="X85" s="4" t="str">
        <f t="shared" si="19"/>
        <v>DEFERRED / NO PO</v>
      </c>
      <c r="Y85" s="4" t="str">
        <f>IF(U85=0,"N/A",IF(AND(MOD(U85,_xlfn.XLOOKUP($A85,tbl_Catalog[sku_id],tbl_Catalog[master_carton_qty]))=0,U85&gt;=_xlfn.XLOOKUP($A85,tbl_Catalog[sku_id],tbl_Catalog[sku_moq_units])),"MOQ OK","CHECK"))</f>
        <v>N/A</v>
      </c>
      <c r="Z85" s="4" t="str">
        <f t="shared" si="20"/>
        <v>N/A</v>
      </c>
      <c r="AA85" s="41">
        <v>0</v>
      </c>
      <c r="AB85" s="41">
        <v>0</v>
      </c>
      <c r="AC85" s="4" t="b">
        <v>0</v>
      </c>
    </row>
    <row r="86" spans="1:29" x14ac:dyDescent="0.3">
      <c r="A86" s="36" t="s">
        <v>433</v>
      </c>
      <c r="B86" s="16" t="s">
        <v>404</v>
      </c>
      <c r="C86" s="4" t="s">
        <v>188</v>
      </c>
      <c r="D86" s="41">
        <v>292</v>
      </c>
      <c r="E86" s="41">
        <v>0</v>
      </c>
      <c r="F86" s="42">
        <f>'03_FBA_Nivel1_Transfer'!E86+D86-E86</f>
        <v>292</v>
      </c>
      <c r="G86" s="39">
        <f>'02_Demand_Unconstraining'!R86</f>
        <v>0.30609999999999998</v>
      </c>
      <c r="H86" s="30">
        <f>'02_Demand_Unconstraining'!S86</f>
        <v>0.19020000000000001</v>
      </c>
      <c r="I86" s="29">
        <f>_xlfn.XLOOKUP($A86,tbl_Catalog[sku_id],tbl_Catalog[z_score])</f>
        <v>1.282</v>
      </c>
      <c r="J86" s="41">
        <f t="shared" si="14"/>
        <v>5</v>
      </c>
      <c r="K86" s="41">
        <f>'03_FBA_Nivel1_Transfer'!N86</f>
        <v>2</v>
      </c>
      <c r="L86" s="41">
        <f t="shared" si="15"/>
        <v>30</v>
      </c>
      <c r="M86" s="44">
        <f t="shared" si="16"/>
        <v>44</v>
      </c>
      <c r="N86" s="41">
        <f>_xlfn.CEILING.MATH(_xlfn.XLOOKUP($A86,tbl_Catalog[sku_id],tbl_Catalog[sku_moq_units])/_xlfn.XLOOKUP($A86,tbl_Catalog[sku_id],tbl_Catalog[master_carton_qty]),1)</f>
        <v>6</v>
      </c>
      <c r="O86" s="31">
        <f t="shared" si="17"/>
        <v>855.9294348252206</v>
      </c>
      <c r="P86" s="48">
        <f>_xlfn.LET(_xlpm.ip_sys,$F86,_xlpm.rop_sys,$L86,_xlpm.s_max,$M86,_xlpm.m_qty,_xlfn.XLOOKUP($A86,tbl_Catalog[sku_id],tbl_Catalog[master_carton_qty]),_xlpm.moq,_xlfn.XLOOKUP($A86,tbl_Catalog[sku_id],tbl_Catalog[sku_moq_units]),IF(_xlpm.ip_sys&lt;=_xlpm.rop_sys,_xlfn.CEILING.MATH(MAX(_xlpm.s_max-_xlpm.ip_sys,_xlpm.moq),_xlpm.m_qty),0))</f>
        <v>0</v>
      </c>
      <c r="Q86" s="30">
        <f>IF(P86&gt;0,(P86/_xlfn.XLOOKUP($A86,tbl_Catalog[sku_id],tbl_Catalog[master_carton_qty]))*_xlfn.XLOOKUP($A86,tbl_Catalog[sku_id],tbl_Catalog[carton_volume_cbm]),0)</f>
        <v>0</v>
      </c>
      <c r="R86" s="41">
        <v>0</v>
      </c>
      <c r="S86" s="41">
        <v>0</v>
      </c>
      <c r="T86" s="41">
        <f>S86*_xlfn.XLOOKUP($A86,tbl_Catalog[sku_id],tbl_Catalog[master_carton_qty])</f>
        <v>0</v>
      </c>
      <c r="U86" s="46">
        <f t="shared" si="18"/>
        <v>0</v>
      </c>
      <c r="V86" s="41">
        <f>IF(_xlfn.XLOOKUP($A86,tbl_Catalog[sku_id],tbl_Catalog[master_carton_qty])&gt;0,U86/_xlfn.XLOOKUP($A86,tbl_Catalog[sku_id],tbl_Catalog[master_carton_qty]),0)</f>
        <v>0</v>
      </c>
      <c r="W86" s="38">
        <f>V86*_xlfn.XLOOKUP($A86,tbl_Catalog[sku_id],tbl_Catalog[carton_volume_cbm])</f>
        <v>0</v>
      </c>
      <c r="X86" s="4" t="str">
        <f t="shared" si="19"/>
        <v>DEFERRED / NO PO</v>
      </c>
      <c r="Y86" s="4" t="str">
        <f>IF(U86=0,"N/A",IF(AND(MOD(U86,_xlfn.XLOOKUP($A86,tbl_Catalog[sku_id],tbl_Catalog[master_carton_qty]))=0,U86&gt;=_xlfn.XLOOKUP($A86,tbl_Catalog[sku_id],tbl_Catalog[sku_moq_units])),"MOQ OK","CHECK"))</f>
        <v>N/A</v>
      </c>
      <c r="Z86" s="4" t="str">
        <f t="shared" si="20"/>
        <v>N/A</v>
      </c>
      <c r="AA86" s="41">
        <v>0</v>
      </c>
      <c r="AB86" s="41">
        <v>0</v>
      </c>
      <c r="AC86" s="4" t="b">
        <v>0</v>
      </c>
    </row>
    <row r="87" spans="1:29" x14ac:dyDescent="0.3">
      <c r="A87" s="36" t="s">
        <v>436</v>
      </c>
      <c r="B87" s="16" t="s">
        <v>404</v>
      </c>
      <c r="C87" s="4" t="s">
        <v>188</v>
      </c>
      <c r="D87" s="41">
        <v>189</v>
      </c>
      <c r="E87" s="41">
        <v>0</v>
      </c>
      <c r="F87" s="42">
        <f>'03_FBA_Nivel1_Transfer'!E87+D87-E87</f>
        <v>224</v>
      </c>
      <c r="G87" s="39">
        <f>'02_Demand_Unconstraining'!R87</f>
        <v>0.4</v>
      </c>
      <c r="H87" s="30">
        <f>'02_Demand_Unconstraining'!S87</f>
        <v>0.3871</v>
      </c>
      <c r="I87" s="29">
        <f>_xlfn.XLOOKUP($A87,tbl_Catalog[sku_id],tbl_Catalog[z_score])</f>
        <v>1.282</v>
      </c>
      <c r="J87" s="41">
        <f t="shared" si="14"/>
        <v>7</v>
      </c>
      <c r="K87" s="41">
        <f>'03_FBA_Nivel1_Transfer'!N87</f>
        <v>2</v>
      </c>
      <c r="L87" s="41">
        <f t="shared" si="15"/>
        <v>39</v>
      </c>
      <c r="M87" s="44">
        <f t="shared" si="16"/>
        <v>57</v>
      </c>
      <c r="N87" s="41">
        <f>_xlfn.CEILING.MATH(_xlfn.XLOOKUP($A87,tbl_Catalog[sku_id],tbl_Catalog[sku_moq_units])/_xlfn.XLOOKUP($A87,tbl_Catalog[sku_id],tbl_Catalog[master_carton_qty]),1)</f>
        <v>6</v>
      </c>
      <c r="O87" s="31">
        <f t="shared" si="17"/>
        <v>462.5</v>
      </c>
      <c r="P87" s="48">
        <f>_xlfn.LET(_xlpm.ip_sys,$F87,_xlpm.rop_sys,$L87,_xlpm.s_max,$M87,_xlpm.m_qty,_xlfn.XLOOKUP($A87,tbl_Catalog[sku_id],tbl_Catalog[master_carton_qty]),_xlpm.moq,_xlfn.XLOOKUP($A87,tbl_Catalog[sku_id],tbl_Catalog[sku_moq_units]),IF(_xlpm.ip_sys&lt;=_xlpm.rop_sys,_xlfn.CEILING.MATH(MAX(_xlpm.s_max-_xlpm.ip_sys,_xlpm.moq),_xlpm.m_qty),0))</f>
        <v>0</v>
      </c>
      <c r="Q87" s="30">
        <f>IF(P87&gt;0,(P87/_xlfn.XLOOKUP($A87,tbl_Catalog[sku_id],tbl_Catalog[master_carton_qty]))*_xlfn.XLOOKUP($A87,tbl_Catalog[sku_id],tbl_Catalog[carton_volume_cbm]),0)</f>
        <v>0</v>
      </c>
      <c r="R87" s="41">
        <v>0</v>
      </c>
      <c r="S87" s="41">
        <v>0</v>
      </c>
      <c r="T87" s="41">
        <f>S87*_xlfn.XLOOKUP($A87,tbl_Catalog[sku_id],tbl_Catalog[master_carton_qty])</f>
        <v>0</v>
      </c>
      <c r="U87" s="46">
        <f t="shared" si="18"/>
        <v>0</v>
      </c>
      <c r="V87" s="41">
        <f>IF(_xlfn.XLOOKUP($A87,tbl_Catalog[sku_id],tbl_Catalog[master_carton_qty])&gt;0,U87/_xlfn.XLOOKUP($A87,tbl_Catalog[sku_id],tbl_Catalog[master_carton_qty]),0)</f>
        <v>0</v>
      </c>
      <c r="W87" s="38">
        <f>V87*_xlfn.XLOOKUP($A87,tbl_Catalog[sku_id],tbl_Catalog[carton_volume_cbm])</f>
        <v>0</v>
      </c>
      <c r="X87" s="4" t="str">
        <f t="shared" si="19"/>
        <v>DEFERRED / NO PO</v>
      </c>
      <c r="Y87" s="4" t="str">
        <f>IF(U87=0,"N/A",IF(AND(MOD(U87,_xlfn.XLOOKUP($A87,tbl_Catalog[sku_id],tbl_Catalog[master_carton_qty]))=0,U87&gt;=_xlfn.XLOOKUP($A87,tbl_Catalog[sku_id],tbl_Catalog[sku_moq_units])),"MOQ OK","CHECK"))</f>
        <v>N/A</v>
      </c>
      <c r="Z87" s="4" t="str">
        <f t="shared" si="20"/>
        <v>N/A</v>
      </c>
      <c r="AA87" s="41">
        <v>0</v>
      </c>
      <c r="AB87" s="41">
        <v>0</v>
      </c>
      <c r="AC87" s="4" t="b">
        <v>0</v>
      </c>
    </row>
    <row r="88" spans="1:29" x14ac:dyDescent="0.3">
      <c r="A88" s="36" t="s">
        <v>439</v>
      </c>
      <c r="B88" s="16" t="s">
        <v>404</v>
      </c>
      <c r="C88" s="4" t="s">
        <v>188</v>
      </c>
      <c r="D88" s="41">
        <v>283</v>
      </c>
      <c r="E88" s="41">
        <v>0</v>
      </c>
      <c r="F88" s="42">
        <f>'03_FBA_Nivel1_Transfer'!E88+D88-E88</f>
        <v>283</v>
      </c>
      <c r="G88" s="39">
        <f>'02_Demand_Unconstraining'!R88</f>
        <v>0.20730000000000001</v>
      </c>
      <c r="H88" s="30">
        <f>'02_Demand_Unconstraining'!S88</f>
        <v>0.15190000000000001</v>
      </c>
      <c r="I88" s="29">
        <f>_xlfn.XLOOKUP($A88,tbl_Catalog[sku_id],tbl_Catalog[z_score])</f>
        <v>1.282</v>
      </c>
      <c r="J88" s="41">
        <f t="shared" si="14"/>
        <v>4</v>
      </c>
      <c r="K88" s="41">
        <f>'03_FBA_Nivel1_Transfer'!N88</f>
        <v>1</v>
      </c>
      <c r="L88" s="41">
        <f t="shared" si="15"/>
        <v>21</v>
      </c>
      <c r="M88" s="44">
        <f t="shared" si="16"/>
        <v>30</v>
      </c>
      <c r="N88" s="41">
        <f>_xlfn.CEILING.MATH(_xlfn.XLOOKUP($A88,tbl_Catalog[sku_id],tbl_Catalog[sku_moq_units])/_xlfn.XLOOKUP($A88,tbl_Catalog[sku_id],tbl_Catalog[master_carton_qty]),1)</f>
        <v>6</v>
      </c>
      <c r="O88" s="31">
        <f t="shared" si="17"/>
        <v>1263.8687891944041</v>
      </c>
      <c r="P88" s="48">
        <f>_xlfn.LET(_xlpm.ip_sys,$F88,_xlpm.rop_sys,$L88,_xlpm.s_max,$M88,_xlpm.m_qty,_xlfn.XLOOKUP($A88,tbl_Catalog[sku_id],tbl_Catalog[master_carton_qty]),_xlpm.moq,_xlfn.XLOOKUP($A88,tbl_Catalog[sku_id],tbl_Catalog[sku_moq_units]),IF(_xlpm.ip_sys&lt;=_xlpm.rop_sys,_xlfn.CEILING.MATH(MAX(_xlpm.s_max-_xlpm.ip_sys,_xlpm.moq),_xlpm.m_qty),0))</f>
        <v>0</v>
      </c>
      <c r="Q88" s="30">
        <f>IF(P88&gt;0,(P88/_xlfn.XLOOKUP($A88,tbl_Catalog[sku_id],tbl_Catalog[master_carton_qty]))*_xlfn.XLOOKUP($A88,tbl_Catalog[sku_id],tbl_Catalog[carton_volume_cbm]),0)</f>
        <v>0</v>
      </c>
      <c r="R88" s="41">
        <v>0</v>
      </c>
      <c r="S88" s="41">
        <v>0</v>
      </c>
      <c r="T88" s="41">
        <f>S88*_xlfn.XLOOKUP($A88,tbl_Catalog[sku_id],tbl_Catalog[master_carton_qty])</f>
        <v>0</v>
      </c>
      <c r="U88" s="46">
        <f t="shared" si="18"/>
        <v>0</v>
      </c>
      <c r="V88" s="41">
        <f>IF(_xlfn.XLOOKUP($A88,tbl_Catalog[sku_id],tbl_Catalog[master_carton_qty])&gt;0,U88/_xlfn.XLOOKUP($A88,tbl_Catalog[sku_id],tbl_Catalog[master_carton_qty]),0)</f>
        <v>0</v>
      </c>
      <c r="W88" s="38">
        <f>V88*_xlfn.XLOOKUP($A88,tbl_Catalog[sku_id],tbl_Catalog[carton_volume_cbm])</f>
        <v>0</v>
      </c>
      <c r="X88" s="4" t="str">
        <f t="shared" si="19"/>
        <v>DEFERRED / NO PO</v>
      </c>
      <c r="Y88" s="4" t="str">
        <f>IF(U88=0,"N/A",IF(AND(MOD(U88,_xlfn.XLOOKUP($A88,tbl_Catalog[sku_id],tbl_Catalog[master_carton_qty]))=0,U88&gt;=_xlfn.XLOOKUP($A88,tbl_Catalog[sku_id],tbl_Catalog[sku_moq_units])),"MOQ OK","CHECK"))</f>
        <v>N/A</v>
      </c>
      <c r="Z88" s="4" t="str">
        <f t="shared" si="20"/>
        <v>N/A</v>
      </c>
      <c r="AA88" s="41">
        <v>0</v>
      </c>
      <c r="AB88" s="41">
        <v>0</v>
      </c>
      <c r="AC88" s="4" t="b">
        <v>0</v>
      </c>
    </row>
    <row r="89" spans="1:29" x14ac:dyDescent="0.3">
      <c r="A89" s="36" t="s">
        <v>442</v>
      </c>
      <c r="B89" s="16" t="s">
        <v>404</v>
      </c>
      <c r="C89" s="4" t="s">
        <v>221</v>
      </c>
      <c r="D89" s="41">
        <v>0</v>
      </c>
      <c r="E89" s="41">
        <v>0</v>
      </c>
      <c r="F89" s="42">
        <f>'03_FBA_Nivel1_Transfer'!E89+D89-E89</f>
        <v>52</v>
      </c>
      <c r="G89" s="39">
        <f>'02_Demand_Unconstraining'!R89</f>
        <v>54.971699999999998</v>
      </c>
      <c r="H89" s="30">
        <f>'02_Demand_Unconstraining'!S89</f>
        <v>11.7257</v>
      </c>
      <c r="I89" s="29">
        <f>_xlfn.XLOOKUP($A89,tbl_Catalog[sku_id],tbl_Catalog[z_score])</f>
        <v>2.0539999999999998</v>
      </c>
      <c r="J89" s="41">
        <f t="shared" si="14"/>
        <v>1149</v>
      </c>
      <c r="K89" s="41">
        <f>'03_FBA_Nivel1_Transfer'!N89</f>
        <v>989</v>
      </c>
      <c r="L89" s="41">
        <f t="shared" si="15"/>
        <v>6261</v>
      </c>
      <c r="M89" s="44">
        <f t="shared" si="16"/>
        <v>8735</v>
      </c>
      <c r="N89" s="41">
        <f>_xlfn.CEILING.MATH(_xlfn.XLOOKUP($A89,tbl_Catalog[sku_id],tbl_Catalog[sku_moq_units])/_xlfn.XLOOKUP($A89,tbl_Catalog[sku_id],tbl_Catalog[master_carton_qty]),1)</f>
        <v>6</v>
      </c>
      <c r="O89" s="31">
        <f t="shared" si="17"/>
        <v>-112.94902649908954</v>
      </c>
      <c r="P89" s="48">
        <f>_xlfn.LET(_xlpm.ip_sys,$F89,_xlpm.rop_sys,$L89,_xlpm.s_max,$M89,_xlpm.m_qty,_xlfn.XLOOKUP($A89,tbl_Catalog[sku_id],tbl_Catalog[master_carton_qty]),_xlpm.moq,_xlfn.XLOOKUP($A89,tbl_Catalog[sku_id],tbl_Catalog[sku_moq_units]),IF(_xlpm.ip_sys&lt;=_xlpm.rop_sys,_xlfn.CEILING.MATH(MAX(_xlpm.s_max-_xlpm.ip_sys,_xlpm.moq),_xlpm.m_qty),0))</f>
        <v>8700</v>
      </c>
      <c r="Q89" s="30">
        <f>IF(P89&gt;0,(P89/_xlfn.XLOOKUP($A89,tbl_Catalog[sku_id],tbl_Catalog[master_carton_qty]))*_xlfn.XLOOKUP($A89,tbl_Catalog[sku_id],tbl_Catalog[carton_volume_cbm]),0)</f>
        <v>10.44</v>
      </c>
      <c r="R89" s="41">
        <v>7350</v>
      </c>
      <c r="S89" s="41">
        <v>0</v>
      </c>
      <c r="T89" s="41">
        <f>S89*_xlfn.XLOOKUP($A89,tbl_Catalog[sku_id],tbl_Catalog[master_carton_qty])</f>
        <v>0</v>
      </c>
      <c r="U89" s="46">
        <f t="shared" si="18"/>
        <v>7350</v>
      </c>
      <c r="V89" s="41">
        <f>IF(_xlfn.XLOOKUP($A89,tbl_Catalog[sku_id],tbl_Catalog[master_carton_qty])&gt;0,U89/_xlfn.XLOOKUP($A89,tbl_Catalog[sku_id],tbl_Catalog[master_carton_qty]),0)</f>
        <v>147</v>
      </c>
      <c r="W89" s="38">
        <f>V89*_xlfn.XLOOKUP($A89,tbl_Catalog[sku_id],tbl_Catalog[carton_volume_cbm])</f>
        <v>8.82</v>
      </c>
      <c r="X89" s="4" t="str">
        <f t="shared" si="19"/>
        <v>BASE LOAD</v>
      </c>
      <c r="Y89" s="4" t="str">
        <f>IF(U89=0,"N/A",IF(AND(MOD(U89,_xlfn.XLOOKUP($A89,tbl_Catalog[sku_id],tbl_Catalog[master_carton_qty]))=0,U89&gt;=_xlfn.XLOOKUP($A89,tbl_Catalog[sku_id],tbl_Catalog[sku_moq_units])),"MOQ OK","CHECK"))</f>
        <v>MOQ OK</v>
      </c>
      <c r="Z89" s="4" t="str">
        <f t="shared" si="20"/>
        <v>DOS OK</v>
      </c>
      <c r="AA89" s="41">
        <v>3600</v>
      </c>
      <c r="AB89" s="41">
        <v>0</v>
      </c>
      <c r="AC89" s="4" t="b">
        <v>0</v>
      </c>
    </row>
    <row r="90" spans="1:29" x14ac:dyDescent="0.3">
      <c r="A90" s="36" t="s">
        <v>445</v>
      </c>
      <c r="B90" s="16" t="s">
        <v>404</v>
      </c>
      <c r="C90" s="4" t="s">
        <v>172</v>
      </c>
      <c r="D90" s="41">
        <v>0</v>
      </c>
      <c r="E90" s="41">
        <v>0</v>
      </c>
      <c r="F90" s="42">
        <f>'03_FBA_Nivel1_Transfer'!E90+D90-E90</f>
        <v>565</v>
      </c>
      <c r="G90" s="39">
        <f>'02_Demand_Unconstraining'!R90</f>
        <v>27.105</v>
      </c>
      <c r="H90" s="30">
        <f>'02_Demand_Unconstraining'!S90</f>
        <v>9.1187000000000005</v>
      </c>
      <c r="I90" s="29">
        <f>_xlfn.XLOOKUP($A90,tbl_Catalog[sku_id],tbl_Catalog[z_score])</f>
        <v>1.881</v>
      </c>
      <c r="J90" s="41">
        <f t="shared" si="14"/>
        <v>532</v>
      </c>
      <c r="K90" s="41">
        <f>'03_FBA_Nivel1_Transfer'!N90</f>
        <v>591</v>
      </c>
      <c r="L90" s="41">
        <f t="shared" si="15"/>
        <v>3156</v>
      </c>
      <c r="M90" s="44">
        <f t="shared" si="16"/>
        <v>4376</v>
      </c>
      <c r="N90" s="41">
        <f>_xlfn.CEILING.MATH(_xlfn.XLOOKUP($A90,tbl_Catalog[sku_id],tbl_Catalog[sku_moq_units])/_xlfn.XLOOKUP($A90,tbl_Catalog[sku_id],tbl_Catalog[master_carton_qty]),1)</f>
        <v>6</v>
      </c>
      <c r="O90" s="31">
        <f t="shared" si="17"/>
        <v>-95.59121933222653</v>
      </c>
      <c r="P90" s="48">
        <f>_xlfn.LET(_xlpm.ip_sys,$F90,_xlpm.rop_sys,$L90,_xlpm.s_max,$M90,_xlpm.m_qty,_xlfn.XLOOKUP($A90,tbl_Catalog[sku_id],tbl_Catalog[master_carton_qty]),_xlpm.moq,_xlfn.XLOOKUP($A90,tbl_Catalog[sku_id],tbl_Catalog[sku_moq_units]),IF(_xlpm.ip_sys&lt;=_xlpm.rop_sys,_xlfn.CEILING.MATH(MAX(_xlpm.s_max-_xlpm.ip_sys,_xlpm.moq),_xlpm.m_qty),0))</f>
        <v>3850</v>
      </c>
      <c r="Q90" s="30">
        <f>IF(P90&gt;0,(P90/_xlfn.XLOOKUP($A90,tbl_Catalog[sku_id],tbl_Catalog[master_carton_qty]))*_xlfn.XLOOKUP($A90,tbl_Catalog[sku_id],tbl_Catalog[carton_volume_cbm]),0)</f>
        <v>4.62</v>
      </c>
      <c r="R90" s="41">
        <v>0</v>
      </c>
      <c r="S90" s="41">
        <v>0</v>
      </c>
      <c r="T90" s="41">
        <f>S90*_xlfn.XLOOKUP($A90,tbl_Catalog[sku_id],tbl_Catalog[master_carton_qty])</f>
        <v>0</v>
      </c>
      <c r="U90" s="46">
        <f t="shared" si="18"/>
        <v>0</v>
      </c>
      <c r="V90" s="41">
        <f>IF(_xlfn.XLOOKUP($A90,tbl_Catalog[sku_id],tbl_Catalog[master_carton_qty])&gt;0,U90/_xlfn.XLOOKUP($A90,tbl_Catalog[sku_id],tbl_Catalog[master_carton_qty]),0)</f>
        <v>0</v>
      </c>
      <c r="W90" s="38">
        <f>V90*_xlfn.XLOOKUP($A90,tbl_Catalog[sku_id],tbl_Catalog[carton_volume_cbm])</f>
        <v>0</v>
      </c>
      <c r="X90" s="4" t="str">
        <f t="shared" si="19"/>
        <v>DEFERRED / NO PO</v>
      </c>
      <c r="Y90" s="4" t="str">
        <f>IF(U90=0,"N/A",IF(AND(MOD(U90,_xlfn.XLOOKUP($A90,tbl_Catalog[sku_id],tbl_Catalog[master_carton_qty]))=0,U90&gt;=_xlfn.XLOOKUP($A90,tbl_Catalog[sku_id],tbl_Catalog[sku_moq_units])),"MOQ OK","CHECK"))</f>
        <v>N/A</v>
      </c>
      <c r="Z90" s="4" t="str">
        <f t="shared" si="20"/>
        <v>N/A</v>
      </c>
      <c r="AA90" s="41">
        <v>1500</v>
      </c>
      <c r="AB90" s="41">
        <v>61</v>
      </c>
      <c r="AC90" s="4" t="b">
        <v>0</v>
      </c>
    </row>
    <row r="91" spans="1:29" x14ac:dyDescent="0.3">
      <c r="A91" s="36" t="s">
        <v>448</v>
      </c>
      <c r="B91" s="16" t="s">
        <v>404</v>
      </c>
      <c r="C91" s="4" t="s">
        <v>221</v>
      </c>
      <c r="D91" s="41">
        <v>1590</v>
      </c>
      <c r="E91" s="41">
        <v>0</v>
      </c>
      <c r="F91" s="42">
        <f>'03_FBA_Nivel1_Transfer'!E91+D91-E91</f>
        <v>2054</v>
      </c>
      <c r="G91" s="39">
        <f>'02_Demand_Unconstraining'!R91</f>
        <v>48.083300000000001</v>
      </c>
      <c r="H91" s="30">
        <f>'02_Demand_Unconstraining'!S91</f>
        <v>9.8925999999999998</v>
      </c>
      <c r="I91" s="29">
        <f>_xlfn.XLOOKUP($A91,tbl_Catalog[sku_id],tbl_Catalog[z_score])</f>
        <v>2.0539999999999998</v>
      </c>
      <c r="J91" s="41">
        <f t="shared" si="14"/>
        <v>1004</v>
      </c>
      <c r="K91" s="41">
        <f>'03_FBA_Nivel1_Transfer'!N91</f>
        <v>992</v>
      </c>
      <c r="L91" s="41">
        <f t="shared" si="15"/>
        <v>5603</v>
      </c>
      <c r="M91" s="44">
        <f t="shared" si="16"/>
        <v>7766</v>
      </c>
      <c r="N91" s="41">
        <f>_xlfn.CEILING.MATH(_xlfn.XLOOKUP($A91,tbl_Catalog[sku_id],tbl_Catalog[sku_moq_units])/_xlfn.XLOOKUP($A91,tbl_Catalog[sku_id],tbl_Catalog[master_carton_qty]),1)</f>
        <v>6</v>
      </c>
      <c r="O91" s="31">
        <f t="shared" si="17"/>
        <v>-73.80940991986823</v>
      </c>
      <c r="P91" s="48">
        <f>_xlfn.LET(_xlpm.ip_sys,$F91,_xlpm.rop_sys,$L91,_xlpm.s_max,$M91,_xlpm.m_qty,_xlfn.XLOOKUP($A91,tbl_Catalog[sku_id],tbl_Catalog[master_carton_qty]),_xlpm.moq,_xlfn.XLOOKUP($A91,tbl_Catalog[sku_id],tbl_Catalog[sku_moq_units]),IF(_xlpm.ip_sys&lt;=_xlpm.rop_sys,_xlfn.CEILING.MATH(MAX(_xlpm.s_max-_xlpm.ip_sys,_xlpm.moq),_xlpm.m_qty),0))</f>
        <v>5750</v>
      </c>
      <c r="Q91" s="30">
        <f>IF(P91&gt;0,(P91/_xlfn.XLOOKUP($A91,tbl_Catalog[sku_id],tbl_Catalog[master_carton_qty]))*_xlfn.XLOOKUP($A91,tbl_Catalog[sku_id],tbl_Catalog[carton_volume_cbm]),0)</f>
        <v>6.8999999999999995</v>
      </c>
      <c r="R91" s="41">
        <v>0</v>
      </c>
      <c r="S91" s="41">
        <v>0</v>
      </c>
      <c r="T91" s="41">
        <f>S91*_xlfn.XLOOKUP($A91,tbl_Catalog[sku_id],tbl_Catalog[master_carton_qty])</f>
        <v>0</v>
      </c>
      <c r="U91" s="46">
        <f t="shared" si="18"/>
        <v>0</v>
      </c>
      <c r="V91" s="41">
        <f>IF(_xlfn.XLOOKUP($A91,tbl_Catalog[sku_id],tbl_Catalog[master_carton_qty])&gt;0,U91/_xlfn.XLOOKUP($A91,tbl_Catalog[sku_id],tbl_Catalog[master_carton_qty]),0)</f>
        <v>0</v>
      </c>
      <c r="W91" s="38">
        <f>V91*_xlfn.XLOOKUP($A91,tbl_Catalog[sku_id],tbl_Catalog[carton_volume_cbm])</f>
        <v>0</v>
      </c>
      <c r="X91" s="4" t="str">
        <f t="shared" si="19"/>
        <v>DEFERRED / NO PO</v>
      </c>
      <c r="Y91" s="4" t="str">
        <f>IF(U91=0,"N/A",IF(AND(MOD(U91,_xlfn.XLOOKUP($A91,tbl_Catalog[sku_id],tbl_Catalog[master_carton_qty]))=0,U91&gt;=_xlfn.XLOOKUP($A91,tbl_Catalog[sku_id],tbl_Catalog[sku_moq_units])),"MOQ OK","CHECK"))</f>
        <v>N/A</v>
      </c>
      <c r="Z91" s="4" t="str">
        <f t="shared" si="20"/>
        <v>N/A</v>
      </c>
      <c r="AA91" s="41">
        <v>1200</v>
      </c>
      <c r="AB91" s="41">
        <v>88</v>
      </c>
      <c r="AC91" s="4" t="b">
        <v>0</v>
      </c>
    </row>
    <row r="92" spans="1:29" x14ac:dyDescent="0.3">
      <c r="A92" s="36" t="s">
        <v>451</v>
      </c>
      <c r="B92" s="16" t="s">
        <v>404</v>
      </c>
      <c r="C92" s="4" t="s">
        <v>184</v>
      </c>
      <c r="D92" s="41">
        <v>163</v>
      </c>
      <c r="E92" s="41">
        <v>0</v>
      </c>
      <c r="F92" s="42">
        <f>'03_FBA_Nivel1_Transfer'!E92+D92-E92</f>
        <v>269</v>
      </c>
      <c r="G92" s="39">
        <f>'02_Demand_Unconstraining'!R92</f>
        <v>3.2092000000000001</v>
      </c>
      <c r="H92" s="30">
        <f>'02_Demand_Unconstraining'!S92</f>
        <v>1.1581999999999999</v>
      </c>
      <c r="I92" s="29">
        <f>_xlfn.XLOOKUP($A92,tbl_Catalog[sku_id],tbl_Catalog[z_score])</f>
        <v>1.645</v>
      </c>
      <c r="J92" s="41">
        <f t="shared" si="14"/>
        <v>56</v>
      </c>
      <c r="K92" s="41">
        <f>'03_FBA_Nivel1_Transfer'!N92</f>
        <v>12</v>
      </c>
      <c r="L92" s="41">
        <f t="shared" si="15"/>
        <v>309</v>
      </c>
      <c r="M92" s="44">
        <f t="shared" si="16"/>
        <v>454</v>
      </c>
      <c r="N92" s="41">
        <f>_xlfn.CEILING.MATH(_xlfn.XLOOKUP($A92,tbl_Catalog[sku_id],tbl_Catalog[sku_moq_units])/_xlfn.XLOOKUP($A92,tbl_Catalog[sku_id],tbl_Catalog[master_carton_qty]),1)</f>
        <v>6</v>
      </c>
      <c r="O92" s="31">
        <f t="shared" si="17"/>
        <v>-12.46416552411816</v>
      </c>
      <c r="P92" s="48">
        <f>_xlfn.LET(_xlpm.ip_sys,$F92,_xlpm.rop_sys,$L92,_xlpm.s_max,$M92,_xlpm.m_qty,_xlfn.XLOOKUP($A92,tbl_Catalog[sku_id],tbl_Catalog[master_carton_qty]),_xlpm.moq,_xlfn.XLOOKUP($A92,tbl_Catalog[sku_id],tbl_Catalog[sku_moq_units]),IF(_xlpm.ip_sys&lt;=_xlpm.rop_sys,_xlfn.CEILING.MATH(MAX(_xlpm.s_max-_xlpm.ip_sys,_xlpm.moq),_xlpm.m_qty),0))</f>
        <v>300</v>
      </c>
      <c r="Q92" s="30">
        <f>IF(P92&gt;0,(P92/_xlfn.XLOOKUP($A92,tbl_Catalog[sku_id],tbl_Catalog[master_carton_qty]))*_xlfn.XLOOKUP($A92,tbl_Catalog[sku_id],tbl_Catalog[carton_volume_cbm]),0)</f>
        <v>0.36</v>
      </c>
      <c r="R92" s="41">
        <v>0</v>
      </c>
      <c r="S92" s="41">
        <v>0</v>
      </c>
      <c r="T92" s="41">
        <f>S92*_xlfn.XLOOKUP($A92,tbl_Catalog[sku_id],tbl_Catalog[master_carton_qty])</f>
        <v>0</v>
      </c>
      <c r="U92" s="46">
        <f t="shared" si="18"/>
        <v>0</v>
      </c>
      <c r="V92" s="41">
        <f>IF(_xlfn.XLOOKUP($A92,tbl_Catalog[sku_id],tbl_Catalog[master_carton_qty])&gt;0,U92/_xlfn.XLOOKUP($A92,tbl_Catalog[sku_id],tbl_Catalog[master_carton_qty]),0)</f>
        <v>0</v>
      </c>
      <c r="W92" s="38">
        <f>V92*_xlfn.XLOOKUP($A92,tbl_Catalog[sku_id],tbl_Catalog[carton_volume_cbm])</f>
        <v>0</v>
      </c>
      <c r="X92" s="4" t="str">
        <f t="shared" si="19"/>
        <v>DEFERRED / NO PO</v>
      </c>
      <c r="Y92" s="4" t="str">
        <f>IF(U92=0,"N/A",IF(AND(MOD(U92,_xlfn.XLOOKUP($A92,tbl_Catalog[sku_id],tbl_Catalog[master_carton_qty]))=0,U92&gt;=_xlfn.XLOOKUP($A92,tbl_Catalog[sku_id],tbl_Catalog[sku_moq_units])),"MOQ OK","CHECK"))</f>
        <v>N/A</v>
      </c>
      <c r="Z92" s="4" t="str">
        <f t="shared" si="20"/>
        <v>N/A</v>
      </c>
      <c r="AA92" s="41">
        <v>300</v>
      </c>
      <c r="AB92" s="41">
        <v>6</v>
      </c>
      <c r="AC92" s="4" t="b">
        <v>0</v>
      </c>
    </row>
    <row r="93" spans="1:29" x14ac:dyDescent="0.3">
      <c r="A93" s="36" t="s">
        <v>454</v>
      </c>
      <c r="B93" s="16" t="s">
        <v>404</v>
      </c>
      <c r="C93" s="4" t="s">
        <v>184</v>
      </c>
      <c r="D93" s="41">
        <v>22</v>
      </c>
      <c r="E93" s="41">
        <v>0</v>
      </c>
      <c r="F93" s="42">
        <f>'03_FBA_Nivel1_Transfer'!E93+D93-E93</f>
        <v>139</v>
      </c>
      <c r="G93" s="39">
        <f>'02_Demand_Unconstraining'!R93</f>
        <v>3.8666999999999998</v>
      </c>
      <c r="H93" s="30">
        <f>'02_Demand_Unconstraining'!S93</f>
        <v>1.4246000000000001</v>
      </c>
      <c r="I93" s="29">
        <f>_xlfn.XLOOKUP($A93,tbl_Catalog[sku_id],tbl_Catalog[z_score])</f>
        <v>1.645</v>
      </c>
      <c r="J93" s="41">
        <f t="shared" si="14"/>
        <v>67</v>
      </c>
      <c r="K93" s="41">
        <f>'03_FBA_Nivel1_Transfer'!N93</f>
        <v>15</v>
      </c>
      <c r="L93" s="41">
        <f t="shared" si="15"/>
        <v>373</v>
      </c>
      <c r="M93" s="44">
        <f t="shared" si="16"/>
        <v>547</v>
      </c>
      <c r="N93" s="41">
        <f>_xlfn.CEILING.MATH(_xlfn.XLOOKUP($A93,tbl_Catalog[sku_id],tbl_Catalog[sku_moq_units])/_xlfn.XLOOKUP($A93,tbl_Catalog[sku_id],tbl_Catalog[master_carton_qty]),1)</f>
        <v>6</v>
      </c>
      <c r="O93" s="31">
        <f t="shared" si="17"/>
        <v>-60.516719683451008</v>
      </c>
      <c r="P93" s="48">
        <f>_xlfn.LET(_xlpm.ip_sys,$F93,_xlpm.rop_sys,$L93,_xlpm.s_max,$M93,_xlpm.m_qty,_xlfn.XLOOKUP($A93,tbl_Catalog[sku_id],tbl_Catalog[master_carton_qty]),_xlpm.moq,_xlfn.XLOOKUP($A93,tbl_Catalog[sku_id],tbl_Catalog[sku_moq_units]),IF(_xlpm.ip_sys&lt;=_xlpm.rop_sys,_xlfn.CEILING.MATH(MAX(_xlpm.s_max-_xlpm.ip_sys,_xlpm.moq),_xlpm.m_qty),0))</f>
        <v>450</v>
      </c>
      <c r="Q93" s="30">
        <f>IF(P93&gt;0,(P93/_xlfn.XLOOKUP($A93,tbl_Catalog[sku_id],tbl_Catalog[master_carton_qty]))*_xlfn.XLOOKUP($A93,tbl_Catalog[sku_id],tbl_Catalog[carton_volume_cbm]),0)</f>
        <v>0.54</v>
      </c>
      <c r="R93" s="41">
        <v>0</v>
      </c>
      <c r="S93" s="41">
        <v>0</v>
      </c>
      <c r="T93" s="41">
        <f>S93*_xlfn.XLOOKUP($A93,tbl_Catalog[sku_id],tbl_Catalog[master_carton_qty])</f>
        <v>0</v>
      </c>
      <c r="U93" s="46">
        <f t="shared" si="18"/>
        <v>0</v>
      </c>
      <c r="V93" s="41">
        <f>IF(_xlfn.XLOOKUP($A93,tbl_Catalog[sku_id],tbl_Catalog[master_carton_qty])&gt;0,U93/_xlfn.XLOOKUP($A93,tbl_Catalog[sku_id],tbl_Catalog[master_carton_qty]),0)</f>
        <v>0</v>
      </c>
      <c r="W93" s="38">
        <f>V93*_xlfn.XLOOKUP($A93,tbl_Catalog[sku_id],tbl_Catalog[carton_volume_cbm])</f>
        <v>0</v>
      </c>
      <c r="X93" s="4" t="str">
        <f t="shared" si="19"/>
        <v>DEFERRED / NO PO</v>
      </c>
      <c r="Y93" s="4" t="str">
        <f>IF(U93=0,"N/A",IF(AND(MOD(U93,_xlfn.XLOOKUP($A93,tbl_Catalog[sku_id],tbl_Catalog[master_carton_qty]))=0,U93&gt;=_xlfn.XLOOKUP($A93,tbl_Catalog[sku_id],tbl_Catalog[sku_moq_units])),"MOQ OK","CHECK"))</f>
        <v>N/A</v>
      </c>
      <c r="Z93" s="4" t="str">
        <f t="shared" si="20"/>
        <v>N/A</v>
      </c>
      <c r="AA93" s="41">
        <v>300</v>
      </c>
      <c r="AB93" s="41">
        <v>7</v>
      </c>
      <c r="AC93" s="4" t="b">
        <v>0</v>
      </c>
    </row>
    <row r="94" spans="1:29" x14ac:dyDescent="0.3">
      <c r="A94" s="36" t="s">
        <v>457</v>
      </c>
      <c r="B94" s="16" t="s">
        <v>404</v>
      </c>
      <c r="C94" s="4" t="s">
        <v>188</v>
      </c>
      <c r="D94" s="41">
        <v>104</v>
      </c>
      <c r="E94" s="41">
        <v>0</v>
      </c>
      <c r="F94" s="42">
        <f>'03_FBA_Nivel1_Transfer'!E94+D94-E94</f>
        <v>199</v>
      </c>
      <c r="G94" s="39">
        <f>'02_Demand_Unconstraining'!R94</f>
        <v>2.1665999999999999</v>
      </c>
      <c r="H94" s="30">
        <f>'02_Demand_Unconstraining'!S94</f>
        <v>1.6016999999999999</v>
      </c>
      <c r="I94" s="29">
        <f>_xlfn.XLOOKUP($A94,tbl_Catalog[sku_id],tbl_Catalog[z_score])</f>
        <v>1.282</v>
      </c>
      <c r="J94" s="41">
        <f t="shared" si="14"/>
        <v>33</v>
      </c>
      <c r="K94" s="41">
        <f>'03_FBA_Nivel1_Transfer'!N94</f>
        <v>8</v>
      </c>
      <c r="L94" s="41">
        <f t="shared" si="15"/>
        <v>204</v>
      </c>
      <c r="M94" s="44">
        <f t="shared" si="16"/>
        <v>301</v>
      </c>
      <c r="N94" s="41">
        <f>_xlfn.CEILING.MATH(_xlfn.XLOOKUP($A94,tbl_Catalog[sku_id],tbl_Catalog[sku_moq_units])/_xlfn.XLOOKUP($A94,tbl_Catalog[sku_id],tbl_Catalog[master_carton_qty]),1)</f>
        <v>6</v>
      </c>
      <c r="O94" s="31">
        <f t="shared" si="17"/>
        <v>-2.3077633157943325</v>
      </c>
      <c r="P94" s="48">
        <f>_xlfn.LET(_xlpm.ip_sys,$F94,_xlpm.rop_sys,$L94,_xlpm.s_max,$M94,_xlpm.m_qty,_xlfn.XLOOKUP($A94,tbl_Catalog[sku_id],tbl_Catalog[master_carton_qty]),_xlpm.moq,_xlfn.XLOOKUP($A94,tbl_Catalog[sku_id],tbl_Catalog[sku_moq_units]),IF(_xlpm.ip_sys&lt;=_xlpm.rop_sys,_xlfn.CEILING.MATH(MAX(_xlpm.s_max-_xlpm.ip_sys,_xlpm.moq),_xlpm.m_qty),0))</f>
        <v>300</v>
      </c>
      <c r="Q94" s="30">
        <f>IF(P94&gt;0,(P94/_xlfn.XLOOKUP($A94,tbl_Catalog[sku_id],tbl_Catalog[master_carton_qty]))*_xlfn.XLOOKUP($A94,tbl_Catalog[sku_id],tbl_Catalog[carton_volume_cbm]),0)</f>
        <v>0.36</v>
      </c>
      <c r="R94" s="41">
        <v>0</v>
      </c>
      <c r="S94" s="41">
        <v>0</v>
      </c>
      <c r="T94" s="41">
        <f>S94*_xlfn.XLOOKUP($A94,tbl_Catalog[sku_id],tbl_Catalog[master_carton_qty])</f>
        <v>0</v>
      </c>
      <c r="U94" s="46">
        <f t="shared" si="18"/>
        <v>0</v>
      </c>
      <c r="V94" s="41">
        <f>IF(_xlfn.XLOOKUP($A94,tbl_Catalog[sku_id],tbl_Catalog[master_carton_qty])&gt;0,U94/_xlfn.XLOOKUP($A94,tbl_Catalog[sku_id],tbl_Catalog[master_carton_qty]),0)</f>
        <v>0</v>
      </c>
      <c r="W94" s="38">
        <f>V94*_xlfn.XLOOKUP($A94,tbl_Catalog[sku_id],tbl_Catalog[carton_volume_cbm])</f>
        <v>0</v>
      </c>
      <c r="X94" s="4" t="str">
        <f t="shared" si="19"/>
        <v>DEFERRED / NO PO</v>
      </c>
      <c r="Y94" s="4" t="str">
        <f>IF(U94=0,"N/A",IF(AND(MOD(U94,_xlfn.XLOOKUP($A94,tbl_Catalog[sku_id],tbl_Catalog[master_carton_qty]))=0,U94&gt;=_xlfn.XLOOKUP($A94,tbl_Catalog[sku_id],tbl_Catalog[sku_moq_units])),"MOQ OK","CHECK"))</f>
        <v>N/A</v>
      </c>
      <c r="Z94" s="4" t="str">
        <f t="shared" si="20"/>
        <v>N/A</v>
      </c>
      <c r="AA94" s="41">
        <v>0</v>
      </c>
      <c r="AB94" s="41">
        <v>6</v>
      </c>
      <c r="AC94" s="4" t="b">
        <v>0</v>
      </c>
    </row>
    <row r="95" spans="1:29" x14ac:dyDescent="0.3">
      <c r="A95" s="36" t="s">
        <v>460</v>
      </c>
      <c r="B95" s="16" t="s">
        <v>404</v>
      </c>
      <c r="C95" s="4" t="s">
        <v>179</v>
      </c>
      <c r="D95" s="41">
        <v>35</v>
      </c>
      <c r="E95" s="41">
        <v>0</v>
      </c>
      <c r="F95" s="42">
        <f>'03_FBA_Nivel1_Transfer'!E95+D95-E95</f>
        <v>206</v>
      </c>
      <c r="G95" s="39">
        <f>'02_Demand_Unconstraining'!R95</f>
        <v>5.2798999999999996</v>
      </c>
      <c r="H95" s="30">
        <f>'02_Demand_Unconstraining'!S95</f>
        <v>2.5674999999999999</v>
      </c>
      <c r="I95" s="29">
        <f>_xlfn.XLOOKUP($A95,tbl_Catalog[sku_id],tbl_Catalog[z_score])</f>
        <v>1.645</v>
      </c>
      <c r="J95" s="41">
        <f t="shared" si="14"/>
        <v>95</v>
      </c>
      <c r="K95" s="41">
        <f>'03_FBA_Nivel1_Transfer'!N95</f>
        <v>20</v>
      </c>
      <c r="L95" s="41">
        <f t="shared" si="15"/>
        <v>511</v>
      </c>
      <c r="M95" s="44">
        <f t="shared" si="16"/>
        <v>749</v>
      </c>
      <c r="N95" s="41">
        <f>_xlfn.CEILING.MATH(_xlfn.XLOOKUP($A95,tbl_Catalog[sku_id],tbl_Catalog[sku_moq_units])/_xlfn.XLOOKUP($A95,tbl_Catalog[sku_id],tbl_Catalog[master_carton_qty]),1)</f>
        <v>6</v>
      </c>
      <c r="O95" s="31">
        <f t="shared" si="17"/>
        <v>-57.766245572832823</v>
      </c>
      <c r="P95" s="48">
        <f>_xlfn.LET(_xlpm.ip_sys,$F95,_xlpm.rop_sys,$L95,_xlpm.s_max,$M95,_xlpm.m_qty,_xlfn.XLOOKUP($A95,tbl_Catalog[sku_id],tbl_Catalog[master_carton_qty]),_xlpm.moq,_xlfn.XLOOKUP($A95,tbl_Catalog[sku_id],tbl_Catalog[sku_moq_units]),IF(_xlpm.ip_sys&lt;=_xlpm.rop_sys,_xlfn.CEILING.MATH(MAX(_xlpm.s_max-_xlpm.ip_sys,_xlpm.moq),_xlpm.m_qty),0))</f>
        <v>550</v>
      </c>
      <c r="Q95" s="30">
        <f>IF(P95&gt;0,(P95/_xlfn.XLOOKUP($A95,tbl_Catalog[sku_id],tbl_Catalog[master_carton_qty]))*_xlfn.XLOOKUP($A95,tbl_Catalog[sku_id],tbl_Catalog[carton_volume_cbm]),0)</f>
        <v>0.65999999999999992</v>
      </c>
      <c r="R95" s="41">
        <v>0</v>
      </c>
      <c r="S95" s="41">
        <v>0</v>
      </c>
      <c r="T95" s="41">
        <f>S95*_xlfn.XLOOKUP($A95,tbl_Catalog[sku_id],tbl_Catalog[master_carton_qty])</f>
        <v>0</v>
      </c>
      <c r="U95" s="46">
        <f t="shared" si="18"/>
        <v>0</v>
      </c>
      <c r="V95" s="41">
        <f>IF(_xlfn.XLOOKUP($A95,tbl_Catalog[sku_id],tbl_Catalog[master_carton_qty])&gt;0,U95/_xlfn.XLOOKUP($A95,tbl_Catalog[sku_id],tbl_Catalog[master_carton_qty]),0)</f>
        <v>0</v>
      </c>
      <c r="W95" s="38">
        <f>V95*_xlfn.XLOOKUP($A95,tbl_Catalog[sku_id],tbl_Catalog[carton_volume_cbm])</f>
        <v>0</v>
      </c>
      <c r="X95" s="4" t="str">
        <f t="shared" si="19"/>
        <v>DEFERRED / NO PO</v>
      </c>
      <c r="Y95" s="4" t="str">
        <f>IF(U95=0,"N/A",IF(AND(MOD(U95,_xlfn.XLOOKUP($A95,tbl_Catalog[sku_id],tbl_Catalog[master_carton_qty]))=0,U95&gt;=_xlfn.XLOOKUP($A95,tbl_Catalog[sku_id],tbl_Catalog[sku_moq_units])),"MOQ OK","CHECK"))</f>
        <v>N/A</v>
      </c>
      <c r="Z95" s="4" t="str">
        <f t="shared" si="20"/>
        <v>N/A</v>
      </c>
      <c r="AA95" s="41">
        <v>300</v>
      </c>
      <c r="AB95" s="41">
        <v>10</v>
      </c>
      <c r="AC95" s="4" t="b">
        <v>0</v>
      </c>
    </row>
    <row r="96" spans="1:29" x14ac:dyDescent="0.3">
      <c r="A96" s="36" t="s">
        <v>463</v>
      </c>
      <c r="B96" s="16" t="s">
        <v>404</v>
      </c>
      <c r="C96" s="4" t="s">
        <v>188</v>
      </c>
      <c r="D96" s="41">
        <v>176</v>
      </c>
      <c r="E96" s="41">
        <v>0</v>
      </c>
      <c r="F96" s="42">
        <f>'03_FBA_Nivel1_Transfer'!E96+D96-E96</f>
        <v>241</v>
      </c>
      <c r="G96" s="39">
        <f>'02_Demand_Unconstraining'!R96</f>
        <v>1.3</v>
      </c>
      <c r="H96" s="30">
        <f>'02_Demand_Unconstraining'!S96</f>
        <v>1.2736000000000001</v>
      </c>
      <c r="I96" s="29">
        <f>_xlfn.XLOOKUP($A96,tbl_Catalog[sku_id],tbl_Catalog[z_score])</f>
        <v>1.282</v>
      </c>
      <c r="J96" s="41">
        <f t="shared" si="14"/>
        <v>22</v>
      </c>
      <c r="K96" s="41">
        <f>'03_FBA_Nivel1_Transfer'!N96</f>
        <v>7</v>
      </c>
      <c r="L96" s="41">
        <f t="shared" si="15"/>
        <v>127</v>
      </c>
      <c r="M96" s="44">
        <f t="shared" si="16"/>
        <v>185</v>
      </c>
      <c r="N96" s="41">
        <f>_xlfn.CEILING.MATH(_xlfn.XLOOKUP($A96,tbl_Catalog[sku_id],tbl_Catalog[sku_moq_units])/_xlfn.XLOOKUP($A96,tbl_Catalog[sku_id],tbl_Catalog[master_carton_qty]),1)</f>
        <v>6</v>
      </c>
      <c r="O96" s="31">
        <f t="shared" si="17"/>
        <v>87.692307692307693</v>
      </c>
      <c r="P96" s="48">
        <f>_xlfn.LET(_xlpm.ip_sys,$F96,_xlpm.rop_sys,$L96,_xlpm.s_max,$M96,_xlpm.m_qty,_xlfn.XLOOKUP($A96,tbl_Catalog[sku_id],tbl_Catalog[master_carton_qty]),_xlpm.moq,_xlfn.XLOOKUP($A96,tbl_Catalog[sku_id],tbl_Catalog[sku_moq_units]),IF(_xlpm.ip_sys&lt;=_xlpm.rop_sys,_xlfn.CEILING.MATH(MAX(_xlpm.s_max-_xlpm.ip_sys,_xlpm.moq),_xlpm.m_qty),0))</f>
        <v>0</v>
      </c>
      <c r="Q96" s="30">
        <f>IF(P96&gt;0,(P96/_xlfn.XLOOKUP($A96,tbl_Catalog[sku_id],tbl_Catalog[master_carton_qty]))*_xlfn.XLOOKUP($A96,tbl_Catalog[sku_id],tbl_Catalog[carton_volume_cbm]),0)</f>
        <v>0</v>
      </c>
      <c r="R96" s="41">
        <v>0</v>
      </c>
      <c r="S96" s="41">
        <v>0</v>
      </c>
      <c r="T96" s="41">
        <f>S96*_xlfn.XLOOKUP($A96,tbl_Catalog[sku_id],tbl_Catalog[master_carton_qty])</f>
        <v>0</v>
      </c>
      <c r="U96" s="46">
        <f t="shared" si="18"/>
        <v>0</v>
      </c>
      <c r="V96" s="41">
        <f>IF(_xlfn.XLOOKUP($A96,tbl_Catalog[sku_id],tbl_Catalog[master_carton_qty])&gt;0,U96/_xlfn.XLOOKUP($A96,tbl_Catalog[sku_id],tbl_Catalog[master_carton_qty]),0)</f>
        <v>0</v>
      </c>
      <c r="W96" s="38">
        <f>V96*_xlfn.XLOOKUP($A96,tbl_Catalog[sku_id],tbl_Catalog[carton_volume_cbm])</f>
        <v>0</v>
      </c>
      <c r="X96" s="4" t="str">
        <f t="shared" si="19"/>
        <v>DEFERRED / NO PO</v>
      </c>
      <c r="Y96" s="4" t="str">
        <f>IF(U96=0,"N/A",IF(AND(MOD(U96,_xlfn.XLOOKUP($A96,tbl_Catalog[sku_id],tbl_Catalog[master_carton_qty]))=0,U96&gt;=_xlfn.XLOOKUP($A96,tbl_Catalog[sku_id],tbl_Catalog[sku_moq_units])),"MOQ OK","CHECK"))</f>
        <v>N/A</v>
      </c>
      <c r="Z96" s="4" t="str">
        <f t="shared" si="20"/>
        <v>N/A</v>
      </c>
      <c r="AA96" s="41">
        <v>0</v>
      </c>
      <c r="AB96" s="41">
        <v>0</v>
      </c>
      <c r="AC96" s="4" t="b">
        <v>0</v>
      </c>
    </row>
    <row r="97" spans="1:29" x14ac:dyDescent="0.3">
      <c r="A97" s="36" t="s">
        <v>466</v>
      </c>
      <c r="B97" s="16" t="s">
        <v>404</v>
      </c>
      <c r="C97" s="4" t="s">
        <v>179</v>
      </c>
      <c r="D97" s="41">
        <v>29</v>
      </c>
      <c r="E97" s="41">
        <v>0</v>
      </c>
      <c r="F97" s="42">
        <f>'03_FBA_Nivel1_Transfer'!E97+D97-E97</f>
        <v>132</v>
      </c>
      <c r="G97" s="39">
        <f>'02_Demand_Unconstraining'!R97</f>
        <v>4.5</v>
      </c>
      <c r="H97" s="30">
        <f>'02_Demand_Unconstraining'!S97</f>
        <v>2.2522000000000002</v>
      </c>
      <c r="I97" s="29">
        <f>_xlfn.XLOOKUP($A97,tbl_Catalog[sku_id],tbl_Catalog[z_score])</f>
        <v>1.645</v>
      </c>
      <c r="J97" s="41">
        <f t="shared" si="14"/>
        <v>81</v>
      </c>
      <c r="K97" s="41">
        <f>'03_FBA_Nivel1_Transfer'!N97</f>
        <v>93</v>
      </c>
      <c r="L97" s="41">
        <f t="shared" si="15"/>
        <v>512</v>
      </c>
      <c r="M97" s="44">
        <f t="shared" si="16"/>
        <v>714</v>
      </c>
      <c r="N97" s="41">
        <f>_xlfn.CEILING.MATH(_xlfn.XLOOKUP($A97,tbl_Catalog[sku_id],tbl_Catalog[sku_moq_units])/_xlfn.XLOOKUP($A97,tbl_Catalog[sku_id],tbl_Catalog[master_carton_qty]),1)</f>
        <v>6</v>
      </c>
      <c r="O97" s="31">
        <f t="shared" si="17"/>
        <v>-84.444444444444443</v>
      </c>
      <c r="P97" s="48">
        <f>_xlfn.LET(_xlpm.ip_sys,$F97,_xlpm.rop_sys,$L97,_xlpm.s_max,$M97,_xlpm.m_qty,_xlfn.XLOOKUP($A97,tbl_Catalog[sku_id],tbl_Catalog[master_carton_qty]),_xlpm.moq,_xlfn.XLOOKUP($A97,tbl_Catalog[sku_id],tbl_Catalog[sku_moq_units]),IF(_xlpm.ip_sys&lt;=_xlpm.rop_sys,_xlfn.CEILING.MATH(MAX(_xlpm.s_max-_xlpm.ip_sys,_xlpm.moq),_xlpm.m_qty),0))</f>
        <v>600</v>
      </c>
      <c r="Q97" s="30">
        <f>IF(P97&gt;0,(P97/_xlfn.XLOOKUP($A97,tbl_Catalog[sku_id],tbl_Catalog[master_carton_qty]))*_xlfn.XLOOKUP($A97,tbl_Catalog[sku_id],tbl_Catalog[carton_volume_cbm]),0)</f>
        <v>0.72</v>
      </c>
      <c r="R97" s="41">
        <v>0</v>
      </c>
      <c r="S97" s="41">
        <v>0</v>
      </c>
      <c r="T97" s="41">
        <f>S97*_xlfn.XLOOKUP($A97,tbl_Catalog[sku_id],tbl_Catalog[master_carton_qty])</f>
        <v>0</v>
      </c>
      <c r="U97" s="46">
        <f t="shared" si="18"/>
        <v>0</v>
      </c>
      <c r="V97" s="41">
        <f>IF(_xlfn.XLOOKUP($A97,tbl_Catalog[sku_id],tbl_Catalog[master_carton_qty])&gt;0,U97/_xlfn.XLOOKUP($A97,tbl_Catalog[sku_id],tbl_Catalog[master_carton_qty]),0)</f>
        <v>0</v>
      </c>
      <c r="W97" s="38">
        <f>V97*_xlfn.XLOOKUP($A97,tbl_Catalog[sku_id],tbl_Catalog[carton_volume_cbm])</f>
        <v>0</v>
      </c>
      <c r="X97" s="4" t="str">
        <f t="shared" si="19"/>
        <v>DEFERRED / NO PO</v>
      </c>
      <c r="Y97" s="4" t="str">
        <f>IF(U97=0,"N/A",IF(AND(MOD(U97,_xlfn.XLOOKUP($A97,tbl_Catalog[sku_id],tbl_Catalog[master_carton_qty]))=0,U97&gt;=_xlfn.XLOOKUP($A97,tbl_Catalog[sku_id],tbl_Catalog[sku_moq_units])),"MOQ OK","CHECK"))</f>
        <v>N/A</v>
      </c>
      <c r="Z97" s="4" t="str">
        <f t="shared" si="20"/>
        <v>N/A</v>
      </c>
      <c r="AA97" s="41">
        <v>300</v>
      </c>
      <c r="AB97" s="41">
        <v>9</v>
      </c>
      <c r="AC97" s="4" t="b">
        <v>0</v>
      </c>
    </row>
    <row r="98" spans="1:29" x14ac:dyDescent="0.3">
      <c r="A98" s="36" t="s">
        <v>469</v>
      </c>
      <c r="B98" s="16" t="s">
        <v>404</v>
      </c>
      <c r="C98" s="4" t="s">
        <v>188</v>
      </c>
      <c r="D98" s="41">
        <v>17</v>
      </c>
      <c r="E98" s="41">
        <v>0</v>
      </c>
      <c r="F98" s="42">
        <f>'03_FBA_Nivel1_Transfer'!E98+D98-E98</f>
        <v>76</v>
      </c>
      <c r="G98" s="39">
        <f>'02_Demand_Unconstraining'!R98</f>
        <v>0.93340000000000001</v>
      </c>
      <c r="H98" s="30">
        <f>'02_Demand_Unconstraining'!S98</f>
        <v>0.88029999999999997</v>
      </c>
      <c r="I98" s="29">
        <f>_xlfn.XLOOKUP($A98,tbl_Catalog[sku_id],tbl_Catalog[z_score])</f>
        <v>1.282</v>
      </c>
      <c r="J98" s="41">
        <f t="shared" si="14"/>
        <v>16</v>
      </c>
      <c r="K98" s="41">
        <f>'03_FBA_Nivel1_Transfer'!N98</f>
        <v>5</v>
      </c>
      <c r="L98" s="41">
        <f t="shared" si="15"/>
        <v>92</v>
      </c>
      <c r="M98" s="44">
        <f t="shared" si="16"/>
        <v>134</v>
      </c>
      <c r="N98" s="41">
        <f>_xlfn.CEILING.MATH(_xlfn.XLOOKUP($A98,tbl_Catalog[sku_id],tbl_Catalog[sku_moq_units])/_xlfn.XLOOKUP($A98,tbl_Catalog[sku_id],tbl_Catalog[master_carton_qty]),1)</f>
        <v>6</v>
      </c>
      <c r="O98" s="31">
        <f t="shared" si="17"/>
        <v>-17.141632740518535</v>
      </c>
      <c r="P98" s="48">
        <f>_xlfn.LET(_xlpm.ip_sys,$F98,_xlpm.rop_sys,$L98,_xlpm.s_max,$M98,_xlpm.m_qty,_xlfn.XLOOKUP($A98,tbl_Catalog[sku_id],tbl_Catalog[master_carton_qty]),_xlpm.moq,_xlfn.XLOOKUP($A98,tbl_Catalog[sku_id],tbl_Catalog[sku_moq_units]),IF(_xlpm.ip_sys&lt;=_xlpm.rop_sys,_xlfn.CEILING.MATH(MAX(_xlpm.s_max-_xlpm.ip_sys,_xlpm.moq),_xlpm.m_qty),0))</f>
        <v>300</v>
      </c>
      <c r="Q98" s="30">
        <f>IF(P98&gt;0,(P98/_xlfn.XLOOKUP($A98,tbl_Catalog[sku_id],tbl_Catalog[master_carton_qty]))*_xlfn.XLOOKUP($A98,tbl_Catalog[sku_id],tbl_Catalog[carton_volume_cbm]),0)</f>
        <v>0.36</v>
      </c>
      <c r="R98" s="41">
        <v>0</v>
      </c>
      <c r="S98" s="41">
        <v>0</v>
      </c>
      <c r="T98" s="41">
        <f>S98*_xlfn.XLOOKUP($A98,tbl_Catalog[sku_id],tbl_Catalog[master_carton_qty])</f>
        <v>0</v>
      </c>
      <c r="U98" s="46">
        <f t="shared" si="18"/>
        <v>0</v>
      </c>
      <c r="V98" s="41">
        <f>IF(_xlfn.XLOOKUP($A98,tbl_Catalog[sku_id],tbl_Catalog[master_carton_qty])&gt;0,U98/_xlfn.XLOOKUP($A98,tbl_Catalog[sku_id],tbl_Catalog[master_carton_qty]),0)</f>
        <v>0</v>
      </c>
      <c r="W98" s="38">
        <f>V98*_xlfn.XLOOKUP($A98,tbl_Catalog[sku_id],tbl_Catalog[carton_volume_cbm])</f>
        <v>0</v>
      </c>
      <c r="X98" s="4" t="str">
        <f t="shared" si="19"/>
        <v>DEFERRED / NO PO</v>
      </c>
      <c r="Y98" s="4" t="str">
        <f>IF(U98=0,"N/A",IF(AND(MOD(U98,_xlfn.XLOOKUP($A98,tbl_Catalog[sku_id],tbl_Catalog[master_carton_qty]))=0,U98&gt;=_xlfn.XLOOKUP($A98,tbl_Catalog[sku_id],tbl_Catalog[sku_moq_units])),"MOQ OK","CHECK"))</f>
        <v>N/A</v>
      </c>
      <c r="Z98" s="4" t="str">
        <f t="shared" si="20"/>
        <v>N/A</v>
      </c>
      <c r="AA98" s="41">
        <v>300</v>
      </c>
      <c r="AB98" s="41">
        <v>6</v>
      </c>
      <c r="AC98" s="4" t="b">
        <v>0</v>
      </c>
    </row>
    <row r="99" spans="1:29" x14ac:dyDescent="0.3">
      <c r="A99" s="36" t="s">
        <v>472</v>
      </c>
      <c r="B99" s="16" t="s">
        <v>404</v>
      </c>
      <c r="C99" s="4" t="s">
        <v>188</v>
      </c>
      <c r="D99" s="41">
        <v>194</v>
      </c>
      <c r="E99" s="41">
        <v>0</v>
      </c>
      <c r="F99" s="42">
        <f>'03_FBA_Nivel1_Transfer'!E99+D99-E99</f>
        <v>273</v>
      </c>
      <c r="G99" s="39">
        <f>'02_Demand_Unconstraining'!R99</f>
        <v>1.3332999999999999</v>
      </c>
      <c r="H99" s="30">
        <f>'02_Demand_Unconstraining'!S99</f>
        <v>1.2442</v>
      </c>
      <c r="I99" s="29">
        <f>_xlfn.XLOOKUP($A99,tbl_Catalog[sku_id],tbl_Catalog[z_score])</f>
        <v>1.282</v>
      </c>
      <c r="J99" s="41">
        <f t="shared" si="14"/>
        <v>22</v>
      </c>
      <c r="K99" s="41">
        <f>'03_FBA_Nivel1_Transfer'!N99</f>
        <v>6</v>
      </c>
      <c r="L99" s="41">
        <f t="shared" si="15"/>
        <v>128</v>
      </c>
      <c r="M99" s="44">
        <f t="shared" si="16"/>
        <v>188</v>
      </c>
      <c r="N99" s="41">
        <f>_xlfn.CEILING.MATH(_xlfn.XLOOKUP($A99,tbl_Catalog[sku_id],tbl_Catalog[sku_moq_units])/_xlfn.XLOOKUP($A99,tbl_Catalog[sku_id],tbl_Catalog[master_carton_qty]),1)</f>
        <v>6</v>
      </c>
      <c r="O99" s="31">
        <f t="shared" si="17"/>
        <v>108.75271881797046</v>
      </c>
      <c r="P99" s="48">
        <f>_xlfn.LET(_xlpm.ip_sys,$F99,_xlpm.rop_sys,$L99,_xlpm.s_max,$M99,_xlpm.m_qty,_xlfn.XLOOKUP($A99,tbl_Catalog[sku_id],tbl_Catalog[master_carton_qty]),_xlpm.moq,_xlfn.XLOOKUP($A99,tbl_Catalog[sku_id],tbl_Catalog[sku_moq_units]),IF(_xlpm.ip_sys&lt;=_xlpm.rop_sys,_xlfn.CEILING.MATH(MAX(_xlpm.s_max-_xlpm.ip_sys,_xlpm.moq),_xlpm.m_qty),0))</f>
        <v>0</v>
      </c>
      <c r="Q99" s="30">
        <f>IF(P99&gt;0,(P99/_xlfn.XLOOKUP($A99,tbl_Catalog[sku_id],tbl_Catalog[master_carton_qty]))*_xlfn.XLOOKUP($A99,tbl_Catalog[sku_id],tbl_Catalog[carton_volume_cbm]),0)</f>
        <v>0</v>
      </c>
      <c r="R99" s="41">
        <v>0</v>
      </c>
      <c r="S99" s="41">
        <v>0</v>
      </c>
      <c r="T99" s="41">
        <f>S99*_xlfn.XLOOKUP($A99,tbl_Catalog[sku_id],tbl_Catalog[master_carton_qty])</f>
        <v>0</v>
      </c>
      <c r="U99" s="46">
        <f t="shared" si="18"/>
        <v>0</v>
      </c>
      <c r="V99" s="41">
        <f>IF(_xlfn.XLOOKUP($A99,tbl_Catalog[sku_id],tbl_Catalog[master_carton_qty])&gt;0,U99/_xlfn.XLOOKUP($A99,tbl_Catalog[sku_id],tbl_Catalog[master_carton_qty]),0)</f>
        <v>0</v>
      </c>
      <c r="W99" s="38">
        <f>V99*_xlfn.XLOOKUP($A99,tbl_Catalog[sku_id],tbl_Catalog[carton_volume_cbm])</f>
        <v>0</v>
      </c>
      <c r="X99" s="4" t="str">
        <f t="shared" si="19"/>
        <v>DEFERRED / NO PO</v>
      </c>
      <c r="Y99" s="4" t="str">
        <f>IF(U99=0,"N/A",IF(AND(MOD(U99,_xlfn.XLOOKUP($A99,tbl_Catalog[sku_id],tbl_Catalog[master_carton_qty]))=0,U99&gt;=_xlfn.XLOOKUP($A99,tbl_Catalog[sku_id],tbl_Catalog[sku_moq_units])),"MOQ OK","CHECK"))</f>
        <v>N/A</v>
      </c>
      <c r="Z99" s="4" t="str">
        <f t="shared" si="20"/>
        <v>N/A</v>
      </c>
      <c r="AA99" s="41">
        <v>0</v>
      </c>
      <c r="AB99" s="41">
        <v>0</v>
      </c>
      <c r="AC99" s="4" t="b">
        <v>0</v>
      </c>
    </row>
    <row r="100" spans="1:29" x14ac:dyDescent="0.3">
      <c r="A100" s="36" t="s">
        <v>475</v>
      </c>
      <c r="B100" s="16" t="s">
        <v>404</v>
      </c>
      <c r="C100" s="4" t="s">
        <v>188</v>
      </c>
      <c r="D100" s="41">
        <v>120</v>
      </c>
      <c r="E100" s="41">
        <v>0</v>
      </c>
      <c r="F100" s="42">
        <f>'03_FBA_Nivel1_Transfer'!E100+D100-E100</f>
        <v>149</v>
      </c>
      <c r="G100" s="39">
        <f>'02_Demand_Unconstraining'!R100</f>
        <v>0.76659999999999995</v>
      </c>
      <c r="H100" s="30">
        <f>'02_Demand_Unconstraining'!S100</f>
        <v>0.73809999999999998</v>
      </c>
      <c r="I100" s="29">
        <f>_xlfn.XLOOKUP($A100,tbl_Catalog[sku_id],tbl_Catalog[z_score])</f>
        <v>1.282</v>
      </c>
      <c r="J100" s="41">
        <f t="shared" si="14"/>
        <v>13</v>
      </c>
      <c r="K100" s="41">
        <f>'03_FBA_Nivel1_Transfer'!N100</f>
        <v>4</v>
      </c>
      <c r="L100" s="41">
        <f t="shared" si="15"/>
        <v>75</v>
      </c>
      <c r="M100" s="44">
        <f t="shared" si="16"/>
        <v>109</v>
      </c>
      <c r="N100" s="41">
        <f>_xlfn.CEILING.MATH(_xlfn.XLOOKUP($A100,tbl_Catalog[sku_id],tbl_Catalog[sku_moq_units])/_xlfn.XLOOKUP($A100,tbl_Catalog[sku_id],tbl_Catalog[master_carton_qty]),1)</f>
        <v>6</v>
      </c>
      <c r="O100" s="31">
        <f t="shared" si="17"/>
        <v>96.530133055048267</v>
      </c>
      <c r="P100" s="48">
        <f>_xlfn.LET(_xlpm.ip_sys,$F100,_xlpm.rop_sys,$L100,_xlpm.s_max,$M100,_xlpm.m_qty,_xlfn.XLOOKUP($A100,tbl_Catalog[sku_id],tbl_Catalog[master_carton_qty]),_xlpm.moq,_xlfn.XLOOKUP($A100,tbl_Catalog[sku_id],tbl_Catalog[sku_moq_units]),IF(_xlpm.ip_sys&lt;=_xlpm.rop_sys,_xlfn.CEILING.MATH(MAX(_xlpm.s_max-_xlpm.ip_sys,_xlpm.moq),_xlpm.m_qty),0))</f>
        <v>0</v>
      </c>
      <c r="Q100" s="30">
        <f>IF(P100&gt;0,(P100/_xlfn.XLOOKUP($A100,tbl_Catalog[sku_id],tbl_Catalog[master_carton_qty]))*_xlfn.XLOOKUP($A100,tbl_Catalog[sku_id],tbl_Catalog[carton_volume_cbm]),0)</f>
        <v>0</v>
      </c>
      <c r="R100" s="41">
        <v>0</v>
      </c>
      <c r="S100" s="41">
        <v>0</v>
      </c>
      <c r="T100" s="41">
        <f>S100*_xlfn.XLOOKUP($A100,tbl_Catalog[sku_id],tbl_Catalog[master_carton_qty])</f>
        <v>0</v>
      </c>
      <c r="U100" s="46">
        <f t="shared" si="18"/>
        <v>0</v>
      </c>
      <c r="V100" s="41">
        <f>IF(_xlfn.XLOOKUP($A100,tbl_Catalog[sku_id],tbl_Catalog[master_carton_qty])&gt;0,U100/_xlfn.XLOOKUP($A100,tbl_Catalog[sku_id],tbl_Catalog[master_carton_qty]),0)</f>
        <v>0</v>
      </c>
      <c r="W100" s="38">
        <f>V100*_xlfn.XLOOKUP($A100,tbl_Catalog[sku_id],tbl_Catalog[carton_volume_cbm])</f>
        <v>0</v>
      </c>
      <c r="X100" s="4" t="str">
        <f t="shared" si="19"/>
        <v>DEFERRED / NO PO</v>
      </c>
      <c r="Y100" s="4" t="str">
        <f>IF(U100=0,"N/A",IF(AND(MOD(U100,_xlfn.XLOOKUP($A100,tbl_Catalog[sku_id],tbl_Catalog[master_carton_qty]))=0,U100&gt;=_xlfn.XLOOKUP($A100,tbl_Catalog[sku_id],tbl_Catalog[sku_moq_units])),"MOQ OK","CHECK"))</f>
        <v>N/A</v>
      </c>
      <c r="Z100" s="4" t="str">
        <f t="shared" si="20"/>
        <v>N/A</v>
      </c>
      <c r="AA100" s="41">
        <v>0</v>
      </c>
      <c r="AB100" s="41">
        <v>0</v>
      </c>
      <c r="AC100" s="4" t="b">
        <v>0</v>
      </c>
    </row>
    <row r="101" spans="1:29" x14ac:dyDescent="0.3">
      <c r="A101" s="36" t="s">
        <v>478</v>
      </c>
      <c r="B101" s="16" t="s">
        <v>404</v>
      </c>
      <c r="C101" s="4" t="s">
        <v>221</v>
      </c>
      <c r="D101" s="41">
        <v>2423</v>
      </c>
      <c r="E101" s="41">
        <v>0</v>
      </c>
      <c r="F101" s="42">
        <f>'03_FBA_Nivel1_Transfer'!E101+D101-E101</f>
        <v>2423</v>
      </c>
      <c r="G101" s="39">
        <f>'02_Demand_Unconstraining'!R101</f>
        <v>46.619300000000003</v>
      </c>
      <c r="H101" s="30">
        <f>'02_Demand_Unconstraining'!S101</f>
        <v>10.7194</v>
      </c>
      <c r="I101" s="29">
        <f>_xlfn.XLOOKUP($A101,tbl_Catalog[sku_id],tbl_Catalog[z_score])</f>
        <v>2.0539999999999998</v>
      </c>
      <c r="J101" s="41">
        <f t="shared" ref="J101:J132" si="21">ROUNDUP(I101*SQRT(L2_Mean*(H101^2)+(G101^2)*(L2_Std^2)),0)</f>
        <v>977</v>
      </c>
      <c r="K101" s="41">
        <f>'03_FBA_Nivel1_Transfer'!N101</f>
        <v>183</v>
      </c>
      <c r="L101" s="41">
        <f t="shared" ref="L101:L132" si="22">_xlfn.CEILING.MATH(G101*L2_Mean+J101+K101,1)</f>
        <v>4657</v>
      </c>
      <c r="M101" s="44">
        <f t="shared" ref="M101:M132" si="23">_xlfn.CEILING.MATH(G101*(L2_Mean+45)+J101+K101,1)</f>
        <v>6755</v>
      </c>
      <c r="N101" s="41">
        <f>_xlfn.CEILING.MATH(_xlfn.XLOOKUP($A101,tbl_Catalog[sku_id],tbl_Catalog[sku_moq_units])/_xlfn.XLOOKUP($A101,tbl_Catalog[sku_id],tbl_Catalog[master_carton_qty]),1)</f>
        <v>6</v>
      </c>
      <c r="O101" s="31">
        <f t="shared" ref="O101:O132" si="24">IF(G101&gt;0,(F101-L101)/G101,999)</f>
        <v>-47.92006743988005</v>
      </c>
      <c r="P101" s="48">
        <f>_xlfn.LET(_xlpm.ip_sys,$F101,_xlpm.rop_sys,$L101,_xlpm.s_max,$M101,_xlpm.m_qty,_xlfn.XLOOKUP($A101,tbl_Catalog[sku_id],tbl_Catalog[master_carton_qty]),_xlpm.moq,_xlfn.XLOOKUP($A101,tbl_Catalog[sku_id],tbl_Catalog[sku_moq_units]),IF(_xlpm.ip_sys&lt;=_xlpm.rop_sys,_xlfn.CEILING.MATH(MAX(_xlpm.s_max-_xlpm.ip_sys,_xlpm.moq),_xlpm.m_qty),0))</f>
        <v>4350</v>
      </c>
      <c r="Q101" s="30">
        <f>IF(P101&gt;0,(P101/_xlfn.XLOOKUP($A101,tbl_Catalog[sku_id],tbl_Catalog[master_carton_qty]))*_xlfn.XLOOKUP($A101,tbl_Catalog[sku_id],tbl_Catalog[carton_volume_cbm]),0)</f>
        <v>5.22</v>
      </c>
      <c r="R101" s="41">
        <v>0</v>
      </c>
      <c r="S101" s="41">
        <v>0</v>
      </c>
      <c r="T101" s="41">
        <f>S101*_xlfn.XLOOKUP($A101,tbl_Catalog[sku_id],tbl_Catalog[master_carton_qty])</f>
        <v>0</v>
      </c>
      <c r="U101" s="46">
        <f t="shared" ref="U101:U132" si="25">R101+T101</f>
        <v>0</v>
      </c>
      <c r="V101" s="41">
        <f>IF(_xlfn.XLOOKUP($A101,tbl_Catalog[sku_id],tbl_Catalog[master_carton_qty])&gt;0,U101/_xlfn.XLOOKUP($A101,tbl_Catalog[sku_id],tbl_Catalog[master_carton_qty]),0)</f>
        <v>0</v>
      </c>
      <c r="W101" s="38">
        <f>V101*_xlfn.XLOOKUP($A101,tbl_Catalog[sku_id],tbl_Catalog[carton_volume_cbm])</f>
        <v>0</v>
      </c>
      <c r="X101" s="4" t="str">
        <f t="shared" ref="X101:X132" si="26">IF(U101=0,"DEFERRED / NO PO",IF(S101&gt;0,"BASE + TIER-A TOP-UP","BASE LOAD"))</f>
        <v>DEFERRED / NO PO</v>
      </c>
      <c r="Y101" s="4" t="str">
        <f>IF(U101=0,"N/A",IF(AND(MOD(U101,_xlfn.XLOOKUP($A101,tbl_Catalog[sku_id],tbl_Catalog[master_carton_qty]))=0,U101&gt;=_xlfn.XLOOKUP($A101,tbl_Catalog[sku_id],tbl_Catalog[sku_moq_units])),"MOQ OK","CHECK"))</f>
        <v>N/A</v>
      </c>
      <c r="Z101" s="4" t="str">
        <f t="shared" ref="Z101:Z132" si="27">IF(U101=0,"N/A",IF((F101+U101)/MAX(0.1,G101)&lt;=DOS_Cap,"DOS OK","MOQ OVERRIDE"))</f>
        <v>N/A</v>
      </c>
      <c r="AA101" s="41">
        <v>0</v>
      </c>
      <c r="AB101" s="41">
        <v>77</v>
      </c>
      <c r="AC101" s="4" t="b">
        <v>0</v>
      </c>
    </row>
    <row r="102" spans="1:29" x14ac:dyDescent="0.3">
      <c r="A102" s="36" t="s">
        <v>481</v>
      </c>
      <c r="B102" s="16" t="s">
        <v>404</v>
      </c>
      <c r="C102" s="4" t="s">
        <v>184</v>
      </c>
      <c r="D102" s="41">
        <v>110</v>
      </c>
      <c r="E102" s="41">
        <v>0</v>
      </c>
      <c r="F102" s="42">
        <f>'03_FBA_Nivel1_Transfer'!E102+D102-E102</f>
        <v>225</v>
      </c>
      <c r="G102" s="39">
        <f>'02_Demand_Unconstraining'!R102</f>
        <v>3.4811000000000001</v>
      </c>
      <c r="H102" s="30">
        <f>'02_Demand_Unconstraining'!S102</f>
        <v>1.2959000000000001</v>
      </c>
      <c r="I102" s="29">
        <f>_xlfn.XLOOKUP($A102,tbl_Catalog[sku_id],tbl_Catalog[z_score])</f>
        <v>1.645</v>
      </c>
      <c r="J102" s="41">
        <f t="shared" si="21"/>
        <v>61</v>
      </c>
      <c r="K102" s="41">
        <f>'03_FBA_Nivel1_Transfer'!N102</f>
        <v>14</v>
      </c>
      <c r="L102" s="41">
        <f t="shared" si="22"/>
        <v>337</v>
      </c>
      <c r="M102" s="44">
        <f t="shared" si="23"/>
        <v>493</v>
      </c>
      <c r="N102" s="41">
        <f>_xlfn.CEILING.MATH(_xlfn.XLOOKUP($A102,tbl_Catalog[sku_id],tbl_Catalog[sku_moq_units])/_xlfn.XLOOKUP($A102,tbl_Catalog[sku_id],tbl_Catalog[master_carton_qty]),1)</f>
        <v>6</v>
      </c>
      <c r="O102" s="31">
        <f t="shared" si="24"/>
        <v>-32.173738186205512</v>
      </c>
      <c r="P102" s="48">
        <f>_xlfn.LET(_xlpm.ip_sys,$F102,_xlpm.rop_sys,$L102,_xlpm.s_max,$M102,_xlpm.m_qty,_xlfn.XLOOKUP($A102,tbl_Catalog[sku_id],tbl_Catalog[master_carton_qty]),_xlpm.moq,_xlfn.XLOOKUP($A102,tbl_Catalog[sku_id],tbl_Catalog[sku_moq_units]),IF(_xlpm.ip_sys&lt;=_xlpm.rop_sys,_xlfn.CEILING.MATH(MAX(_xlpm.s_max-_xlpm.ip_sys,_xlpm.moq),_xlpm.m_qty),0))</f>
        <v>300</v>
      </c>
      <c r="Q102" s="30">
        <f>IF(P102&gt;0,(P102/_xlfn.XLOOKUP($A102,tbl_Catalog[sku_id],tbl_Catalog[master_carton_qty]))*_xlfn.XLOOKUP($A102,tbl_Catalog[sku_id],tbl_Catalog[carton_volume_cbm]),0)</f>
        <v>0.36</v>
      </c>
      <c r="R102" s="41">
        <v>0</v>
      </c>
      <c r="S102" s="41">
        <v>0</v>
      </c>
      <c r="T102" s="41">
        <f>S102*_xlfn.XLOOKUP($A102,tbl_Catalog[sku_id],tbl_Catalog[master_carton_qty])</f>
        <v>0</v>
      </c>
      <c r="U102" s="46">
        <f t="shared" si="25"/>
        <v>0</v>
      </c>
      <c r="V102" s="41">
        <f>IF(_xlfn.XLOOKUP($A102,tbl_Catalog[sku_id],tbl_Catalog[master_carton_qty])&gt;0,U102/_xlfn.XLOOKUP($A102,tbl_Catalog[sku_id],tbl_Catalog[master_carton_qty]),0)</f>
        <v>0</v>
      </c>
      <c r="W102" s="38">
        <f>V102*_xlfn.XLOOKUP($A102,tbl_Catalog[sku_id],tbl_Catalog[carton_volume_cbm])</f>
        <v>0</v>
      </c>
      <c r="X102" s="4" t="str">
        <f t="shared" si="26"/>
        <v>DEFERRED / NO PO</v>
      </c>
      <c r="Y102" s="4" t="str">
        <f>IF(U102=0,"N/A",IF(AND(MOD(U102,_xlfn.XLOOKUP($A102,tbl_Catalog[sku_id],tbl_Catalog[master_carton_qty]))=0,U102&gt;=_xlfn.XLOOKUP($A102,tbl_Catalog[sku_id],tbl_Catalog[sku_moq_units])),"MOQ OK","CHECK"))</f>
        <v>N/A</v>
      </c>
      <c r="Z102" s="4" t="str">
        <f t="shared" si="27"/>
        <v>N/A</v>
      </c>
      <c r="AA102" s="41">
        <v>300</v>
      </c>
      <c r="AB102" s="41">
        <v>6</v>
      </c>
      <c r="AC102" s="4" t="b">
        <v>0</v>
      </c>
    </row>
    <row r="103" spans="1:29" x14ac:dyDescent="0.3">
      <c r="A103" s="36" t="s">
        <v>484</v>
      </c>
      <c r="B103" s="16" t="s">
        <v>404</v>
      </c>
      <c r="C103" s="4" t="s">
        <v>172</v>
      </c>
      <c r="D103" s="41">
        <v>0</v>
      </c>
      <c r="E103" s="41">
        <v>0</v>
      </c>
      <c r="F103" s="42">
        <f>'03_FBA_Nivel1_Transfer'!E103+D103-E103</f>
        <v>922</v>
      </c>
      <c r="G103" s="39">
        <f>'02_Demand_Unconstraining'!R103</f>
        <v>28.188700000000001</v>
      </c>
      <c r="H103" s="30">
        <f>'02_Demand_Unconstraining'!S103</f>
        <v>8.7729999999999997</v>
      </c>
      <c r="I103" s="29">
        <f>_xlfn.XLOOKUP($A103,tbl_Catalog[sku_id],tbl_Catalog[z_score])</f>
        <v>1.881</v>
      </c>
      <c r="J103" s="41">
        <f t="shared" si="21"/>
        <v>550</v>
      </c>
      <c r="K103" s="41">
        <f>'03_FBA_Nivel1_Transfer'!N103</f>
        <v>592</v>
      </c>
      <c r="L103" s="41">
        <f t="shared" si="22"/>
        <v>3257</v>
      </c>
      <c r="M103" s="44">
        <f t="shared" si="23"/>
        <v>4525</v>
      </c>
      <c r="N103" s="41">
        <f>_xlfn.CEILING.MATH(_xlfn.XLOOKUP($A103,tbl_Catalog[sku_id],tbl_Catalog[sku_moq_units])/_xlfn.XLOOKUP($A103,tbl_Catalog[sku_id],tbl_Catalog[master_carton_qty]),1)</f>
        <v>6</v>
      </c>
      <c r="O103" s="31">
        <f t="shared" si="24"/>
        <v>-82.834611032080232</v>
      </c>
      <c r="P103" s="48">
        <f>_xlfn.LET(_xlpm.ip_sys,$F103,_xlpm.rop_sys,$L103,_xlpm.s_max,$M103,_xlpm.m_qty,_xlfn.XLOOKUP($A103,tbl_Catalog[sku_id],tbl_Catalog[master_carton_qty]),_xlpm.moq,_xlfn.XLOOKUP($A103,tbl_Catalog[sku_id],tbl_Catalog[sku_moq_units]),IF(_xlpm.ip_sys&lt;=_xlpm.rop_sys,_xlfn.CEILING.MATH(MAX(_xlpm.s_max-_xlpm.ip_sys,_xlpm.moq),_xlpm.m_qty),0))</f>
        <v>3650</v>
      </c>
      <c r="Q103" s="30">
        <f>IF(P103&gt;0,(P103/_xlfn.XLOOKUP($A103,tbl_Catalog[sku_id],tbl_Catalog[master_carton_qty]))*_xlfn.XLOOKUP($A103,tbl_Catalog[sku_id],tbl_Catalog[carton_volume_cbm]),0)</f>
        <v>4.38</v>
      </c>
      <c r="R103" s="41">
        <v>0</v>
      </c>
      <c r="S103" s="41">
        <v>0</v>
      </c>
      <c r="T103" s="41">
        <f>S103*_xlfn.XLOOKUP($A103,tbl_Catalog[sku_id],tbl_Catalog[master_carton_qty])</f>
        <v>0</v>
      </c>
      <c r="U103" s="46">
        <f t="shared" si="25"/>
        <v>0</v>
      </c>
      <c r="V103" s="41">
        <f>IF(_xlfn.XLOOKUP($A103,tbl_Catalog[sku_id],tbl_Catalog[master_carton_qty])&gt;0,U103/_xlfn.XLOOKUP($A103,tbl_Catalog[sku_id],tbl_Catalog[master_carton_qty]),0)</f>
        <v>0</v>
      </c>
      <c r="W103" s="38">
        <f>V103*_xlfn.XLOOKUP($A103,tbl_Catalog[sku_id],tbl_Catalog[carton_volume_cbm])</f>
        <v>0</v>
      </c>
      <c r="X103" s="4" t="str">
        <f t="shared" si="26"/>
        <v>DEFERRED / NO PO</v>
      </c>
      <c r="Y103" s="4" t="str">
        <f>IF(U103=0,"N/A",IF(AND(MOD(U103,_xlfn.XLOOKUP($A103,tbl_Catalog[sku_id],tbl_Catalog[master_carton_qty]))=0,U103&gt;=_xlfn.XLOOKUP($A103,tbl_Catalog[sku_id],tbl_Catalog[sku_moq_units])),"MOQ OK","CHECK"))</f>
        <v>N/A</v>
      </c>
      <c r="Z103" s="4" t="str">
        <f t="shared" si="27"/>
        <v>N/A</v>
      </c>
      <c r="AA103" s="41">
        <v>1350</v>
      </c>
      <c r="AB103" s="41">
        <v>57</v>
      </c>
      <c r="AC103" s="4" t="b">
        <v>0</v>
      </c>
    </row>
    <row r="104" spans="1:29" x14ac:dyDescent="0.3">
      <c r="A104" s="36" t="s">
        <v>487</v>
      </c>
      <c r="B104" s="16" t="s">
        <v>404</v>
      </c>
      <c r="C104" s="4" t="s">
        <v>188</v>
      </c>
      <c r="D104" s="41">
        <v>0</v>
      </c>
      <c r="E104" s="41">
        <v>0</v>
      </c>
      <c r="F104" s="42">
        <f>'03_FBA_Nivel1_Transfer'!E104+D104-E104</f>
        <v>120</v>
      </c>
      <c r="G104" s="39">
        <f>'02_Demand_Unconstraining'!R104</f>
        <v>3.2332999999999998</v>
      </c>
      <c r="H104" s="30">
        <f>'02_Demand_Unconstraining'!S104</f>
        <v>3.0954000000000002</v>
      </c>
      <c r="I104" s="29">
        <f>_xlfn.XLOOKUP($A104,tbl_Catalog[sku_id],tbl_Catalog[z_score])</f>
        <v>1.282</v>
      </c>
      <c r="J104" s="41">
        <f t="shared" si="21"/>
        <v>54</v>
      </c>
      <c r="K104" s="41">
        <f>'03_FBA_Nivel1_Transfer'!N104</f>
        <v>16</v>
      </c>
      <c r="L104" s="41">
        <f t="shared" si="22"/>
        <v>313</v>
      </c>
      <c r="M104" s="44">
        <f t="shared" si="23"/>
        <v>458</v>
      </c>
      <c r="N104" s="41">
        <f>_xlfn.CEILING.MATH(_xlfn.XLOOKUP($A104,tbl_Catalog[sku_id],tbl_Catalog[sku_moq_units])/_xlfn.XLOOKUP($A104,tbl_Catalog[sku_id],tbl_Catalog[master_carton_qty]),1)</f>
        <v>6</v>
      </c>
      <c r="O104" s="31">
        <f t="shared" si="24"/>
        <v>-59.691337024093038</v>
      </c>
      <c r="P104" s="48">
        <f>_xlfn.LET(_xlpm.ip_sys,$F104,_xlpm.rop_sys,$L104,_xlpm.s_max,$M104,_xlpm.m_qty,_xlfn.XLOOKUP($A104,tbl_Catalog[sku_id],tbl_Catalog[master_carton_qty]),_xlpm.moq,_xlfn.XLOOKUP($A104,tbl_Catalog[sku_id],tbl_Catalog[sku_moq_units]),IF(_xlpm.ip_sys&lt;=_xlpm.rop_sys,_xlfn.CEILING.MATH(MAX(_xlpm.s_max-_xlpm.ip_sys,_xlpm.moq),_xlpm.m_qty),0))</f>
        <v>350</v>
      </c>
      <c r="Q104" s="30">
        <f>IF(P104&gt;0,(P104/_xlfn.XLOOKUP($A104,tbl_Catalog[sku_id],tbl_Catalog[master_carton_qty]))*_xlfn.XLOOKUP($A104,tbl_Catalog[sku_id],tbl_Catalog[carton_volume_cbm]),0)</f>
        <v>0.42</v>
      </c>
      <c r="R104" s="41">
        <v>0</v>
      </c>
      <c r="S104" s="41">
        <v>0</v>
      </c>
      <c r="T104" s="41">
        <f>S104*_xlfn.XLOOKUP($A104,tbl_Catalog[sku_id],tbl_Catalog[master_carton_qty])</f>
        <v>0</v>
      </c>
      <c r="U104" s="46">
        <f t="shared" si="25"/>
        <v>0</v>
      </c>
      <c r="V104" s="41">
        <f>IF(_xlfn.XLOOKUP($A104,tbl_Catalog[sku_id],tbl_Catalog[master_carton_qty])&gt;0,U104/_xlfn.XLOOKUP($A104,tbl_Catalog[sku_id],tbl_Catalog[master_carton_qty]),0)</f>
        <v>0</v>
      </c>
      <c r="W104" s="38">
        <f>V104*_xlfn.XLOOKUP($A104,tbl_Catalog[sku_id],tbl_Catalog[carton_volume_cbm])</f>
        <v>0</v>
      </c>
      <c r="X104" s="4" t="str">
        <f t="shared" si="26"/>
        <v>DEFERRED / NO PO</v>
      </c>
      <c r="Y104" s="4" t="str">
        <f>IF(U104=0,"N/A",IF(AND(MOD(U104,_xlfn.XLOOKUP($A104,tbl_Catalog[sku_id],tbl_Catalog[master_carton_qty]))=0,U104&gt;=_xlfn.XLOOKUP($A104,tbl_Catalog[sku_id],tbl_Catalog[sku_moq_units])),"MOQ OK","CHECK"))</f>
        <v>N/A</v>
      </c>
      <c r="Z104" s="4" t="str">
        <f t="shared" si="27"/>
        <v>N/A</v>
      </c>
      <c r="AA104" s="41">
        <v>300</v>
      </c>
      <c r="AB104" s="41">
        <v>6</v>
      </c>
      <c r="AC104" s="4" t="b">
        <v>0</v>
      </c>
    </row>
    <row r="105" spans="1:29" x14ac:dyDescent="0.3">
      <c r="A105" s="36" t="s">
        <v>490</v>
      </c>
      <c r="B105" s="16" t="s">
        <v>404</v>
      </c>
      <c r="C105" s="4" t="s">
        <v>179</v>
      </c>
      <c r="D105" s="41">
        <v>161</v>
      </c>
      <c r="E105" s="41">
        <v>0</v>
      </c>
      <c r="F105" s="42">
        <f>'03_FBA_Nivel1_Transfer'!E105+D105-E105</f>
        <v>367</v>
      </c>
      <c r="G105" s="39">
        <f>'02_Demand_Unconstraining'!R105</f>
        <v>5.5708000000000002</v>
      </c>
      <c r="H105" s="30">
        <f>'02_Demand_Unconstraining'!S105</f>
        <v>2.6995</v>
      </c>
      <c r="I105" s="29">
        <f>_xlfn.XLOOKUP($A105,tbl_Catalog[sku_id],tbl_Catalog[z_score])</f>
        <v>1.645</v>
      </c>
      <c r="J105" s="41">
        <f t="shared" si="21"/>
        <v>100</v>
      </c>
      <c r="K105" s="41">
        <f>'03_FBA_Nivel1_Transfer'!N105</f>
        <v>101</v>
      </c>
      <c r="L105" s="41">
        <f t="shared" si="22"/>
        <v>619</v>
      </c>
      <c r="M105" s="44">
        <f t="shared" si="23"/>
        <v>870</v>
      </c>
      <c r="N105" s="41">
        <f>_xlfn.CEILING.MATH(_xlfn.XLOOKUP($A105,tbl_Catalog[sku_id],tbl_Catalog[sku_moq_units])/_xlfn.XLOOKUP($A105,tbl_Catalog[sku_id],tbl_Catalog[master_carton_qty]),1)</f>
        <v>6</v>
      </c>
      <c r="O105" s="31">
        <f t="shared" si="24"/>
        <v>-45.235872765132477</v>
      </c>
      <c r="P105" s="48">
        <f>_xlfn.LET(_xlpm.ip_sys,$F105,_xlpm.rop_sys,$L105,_xlpm.s_max,$M105,_xlpm.m_qty,_xlfn.XLOOKUP($A105,tbl_Catalog[sku_id],tbl_Catalog[master_carton_qty]),_xlpm.moq,_xlfn.XLOOKUP($A105,tbl_Catalog[sku_id],tbl_Catalog[sku_moq_units]),IF(_xlpm.ip_sys&lt;=_xlpm.rop_sys,_xlfn.CEILING.MATH(MAX(_xlpm.s_max-_xlpm.ip_sys,_xlpm.moq),_xlpm.m_qty),0))</f>
        <v>550</v>
      </c>
      <c r="Q105" s="30">
        <f>IF(P105&gt;0,(P105/_xlfn.XLOOKUP($A105,tbl_Catalog[sku_id],tbl_Catalog[master_carton_qty]))*_xlfn.XLOOKUP($A105,tbl_Catalog[sku_id],tbl_Catalog[carton_volume_cbm]),0)</f>
        <v>0.65999999999999992</v>
      </c>
      <c r="R105" s="41">
        <v>0</v>
      </c>
      <c r="S105" s="41">
        <v>0</v>
      </c>
      <c r="T105" s="41">
        <f>S105*_xlfn.XLOOKUP($A105,tbl_Catalog[sku_id],tbl_Catalog[master_carton_qty])</f>
        <v>0</v>
      </c>
      <c r="U105" s="46">
        <f t="shared" si="25"/>
        <v>0</v>
      </c>
      <c r="V105" s="41">
        <f>IF(_xlfn.XLOOKUP($A105,tbl_Catalog[sku_id],tbl_Catalog[master_carton_qty])&gt;0,U105/_xlfn.XLOOKUP($A105,tbl_Catalog[sku_id],tbl_Catalog[master_carton_qty]),0)</f>
        <v>0</v>
      </c>
      <c r="W105" s="38">
        <f>V105*_xlfn.XLOOKUP($A105,tbl_Catalog[sku_id],tbl_Catalog[carton_volume_cbm])</f>
        <v>0</v>
      </c>
      <c r="X105" s="4" t="str">
        <f t="shared" si="26"/>
        <v>DEFERRED / NO PO</v>
      </c>
      <c r="Y105" s="4" t="str">
        <f>IF(U105=0,"N/A",IF(AND(MOD(U105,_xlfn.XLOOKUP($A105,tbl_Catalog[sku_id],tbl_Catalog[master_carton_qty]))=0,U105&gt;=_xlfn.XLOOKUP($A105,tbl_Catalog[sku_id],tbl_Catalog[sku_moq_units])),"MOQ OK","CHECK"))</f>
        <v>N/A</v>
      </c>
      <c r="Z105" s="4" t="str">
        <f t="shared" si="27"/>
        <v>N/A</v>
      </c>
      <c r="AA105" s="41">
        <v>300</v>
      </c>
      <c r="AB105" s="41">
        <v>7</v>
      </c>
      <c r="AC105" s="4" t="b">
        <v>0</v>
      </c>
    </row>
    <row r="106" spans="1:29" x14ac:dyDescent="0.3">
      <c r="A106" s="36" t="s">
        <v>493</v>
      </c>
      <c r="B106" s="16" t="s">
        <v>404</v>
      </c>
      <c r="C106" s="4" t="s">
        <v>188</v>
      </c>
      <c r="D106" s="41">
        <v>242</v>
      </c>
      <c r="E106" s="41">
        <v>0</v>
      </c>
      <c r="F106" s="42">
        <f>'03_FBA_Nivel1_Transfer'!E106+D106-E106</f>
        <v>286</v>
      </c>
      <c r="G106" s="39">
        <f>'02_Demand_Unconstraining'!R106</f>
        <v>1.6667000000000001</v>
      </c>
      <c r="H106" s="30">
        <f>'02_Demand_Unconstraining'!S106</f>
        <v>1.4637</v>
      </c>
      <c r="I106" s="29">
        <f>_xlfn.XLOOKUP($A106,tbl_Catalog[sku_id],tbl_Catalog[z_score])</f>
        <v>1.282</v>
      </c>
      <c r="J106" s="41">
        <f t="shared" si="21"/>
        <v>27</v>
      </c>
      <c r="K106" s="41">
        <f>'03_FBA_Nivel1_Transfer'!N106</f>
        <v>8</v>
      </c>
      <c r="L106" s="41">
        <f t="shared" si="22"/>
        <v>161</v>
      </c>
      <c r="M106" s="44">
        <f t="shared" si="23"/>
        <v>236</v>
      </c>
      <c r="N106" s="41">
        <f>_xlfn.CEILING.MATH(_xlfn.XLOOKUP($A106,tbl_Catalog[sku_id],tbl_Catalog[sku_moq_units])/_xlfn.XLOOKUP($A106,tbl_Catalog[sku_id],tbl_Catalog[master_carton_qty]),1)</f>
        <v>6</v>
      </c>
      <c r="O106" s="31">
        <f t="shared" si="24"/>
        <v>74.998500029999391</v>
      </c>
      <c r="P106" s="48">
        <f>_xlfn.LET(_xlpm.ip_sys,$F106,_xlpm.rop_sys,$L106,_xlpm.s_max,$M106,_xlpm.m_qty,_xlfn.XLOOKUP($A106,tbl_Catalog[sku_id],tbl_Catalog[master_carton_qty]),_xlpm.moq,_xlfn.XLOOKUP($A106,tbl_Catalog[sku_id],tbl_Catalog[sku_moq_units]),IF(_xlpm.ip_sys&lt;=_xlpm.rop_sys,_xlfn.CEILING.MATH(MAX(_xlpm.s_max-_xlpm.ip_sys,_xlpm.moq),_xlpm.m_qty),0))</f>
        <v>0</v>
      </c>
      <c r="Q106" s="30">
        <f>IF(P106&gt;0,(P106/_xlfn.XLOOKUP($A106,tbl_Catalog[sku_id],tbl_Catalog[master_carton_qty]))*_xlfn.XLOOKUP($A106,tbl_Catalog[sku_id],tbl_Catalog[carton_volume_cbm]),0)</f>
        <v>0</v>
      </c>
      <c r="R106" s="41">
        <v>0</v>
      </c>
      <c r="S106" s="41">
        <v>0</v>
      </c>
      <c r="T106" s="41">
        <f>S106*_xlfn.XLOOKUP($A106,tbl_Catalog[sku_id],tbl_Catalog[master_carton_qty])</f>
        <v>0</v>
      </c>
      <c r="U106" s="46">
        <f t="shared" si="25"/>
        <v>0</v>
      </c>
      <c r="V106" s="41">
        <f>IF(_xlfn.XLOOKUP($A106,tbl_Catalog[sku_id],tbl_Catalog[master_carton_qty])&gt;0,U106/_xlfn.XLOOKUP($A106,tbl_Catalog[sku_id],tbl_Catalog[master_carton_qty]),0)</f>
        <v>0</v>
      </c>
      <c r="W106" s="38">
        <f>V106*_xlfn.XLOOKUP($A106,tbl_Catalog[sku_id],tbl_Catalog[carton_volume_cbm])</f>
        <v>0</v>
      </c>
      <c r="X106" s="4" t="str">
        <f t="shared" si="26"/>
        <v>DEFERRED / NO PO</v>
      </c>
      <c r="Y106" s="4" t="str">
        <f>IF(U106=0,"N/A",IF(AND(MOD(U106,_xlfn.XLOOKUP($A106,tbl_Catalog[sku_id],tbl_Catalog[master_carton_qty]))=0,U106&gt;=_xlfn.XLOOKUP($A106,tbl_Catalog[sku_id],tbl_Catalog[sku_moq_units])),"MOQ OK","CHECK"))</f>
        <v>N/A</v>
      </c>
      <c r="Z106" s="4" t="str">
        <f t="shared" si="27"/>
        <v>N/A</v>
      </c>
      <c r="AA106" s="41">
        <v>0</v>
      </c>
      <c r="AB106" s="41">
        <v>0</v>
      </c>
      <c r="AC106" s="4" t="b">
        <v>0</v>
      </c>
    </row>
    <row r="107" spans="1:29" x14ac:dyDescent="0.3">
      <c r="A107" s="36" t="s">
        <v>496</v>
      </c>
      <c r="B107" s="16" t="s">
        <v>404</v>
      </c>
      <c r="C107" s="4" t="s">
        <v>188</v>
      </c>
      <c r="D107" s="41">
        <v>206</v>
      </c>
      <c r="E107" s="41">
        <v>0</v>
      </c>
      <c r="F107" s="42">
        <f>'03_FBA_Nivel1_Transfer'!E107+D107-E107</f>
        <v>206</v>
      </c>
      <c r="G107" s="39">
        <f>'02_Demand_Unconstraining'!R107</f>
        <v>2.4289000000000001</v>
      </c>
      <c r="H107" s="30">
        <f>'02_Demand_Unconstraining'!S107</f>
        <v>1.6386000000000001</v>
      </c>
      <c r="I107" s="29">
        <f>_xlfn.XLOOKUP($A107,tbl_Catalog[sku_id],tbl_Catalog[z_score])</f>
        <v>1.282</v>
      </c>
      <c r="J107" s="41">
        <f t="shared" si="21"/>
        <v>37</v>
      </c>
      <c r="K107" s="41">
        <f>'03_FBA_Nivel1_Transfer'!N107</f>
        <v>8</v>
      </c>
      <c r="L107" s="41">
        <f t="shared" si="22"/>
        <v>228</v>
      </c>
      <c r="M107" s="44">
        <f t="shared" si="23"/>
        <v>337</v>
      </c>
      <c r="N107" s="41">
        <f>_xlfn.CEILING.MATH(_xlfn.XLOOKUP($A107,tbl_Catalog[sku_id],tbl_Catalog[sku_moq_units])/_xlfn.XLOOKUP($A107,tbl_Catalog[sku_id],tbl_Catalog[master_carton_qty]),1)</f>
        <v>6</v>
      </c>
      <c r="O107" s="31">
        <f t="shared" si="24"/>
        <v>-9.0575980896702202</v>
      </c>
      <c r="P107" s="48">
        <f>_xlfn.LET(_xlpm.ip_sys,$F107,_xlpm.rop_sys,$L107,_xlpm.s_max,$M107,_xlpm.m_qty,_xlfn.XLOOKUP($A107,tbl_Catalog[sku_id],tbl_Catalog[master_carton_qty]),_xlpm.moq,_xlfn.XLOOKUP($A107,tbl_Catalog[sku_id],tbl_Catalog[sku_moq_units]),IF(_xlpm.ip_sys&lt;=_xlpm.rop_sys,_xlfn.CEILING.MATH(MAX(_xlpm.s_max-_xlpm.ip_sys,_xlpm.moq),_xlpm.m_qty),0))</f>
        <v>300</v>
      </c>
      <c r="Q107" s="30">
        <f>IF(P107&gt;0,(P107/_xlfn.XLOOKUP($A107,tbl_Catalog[sku_id],tbl_Catalog[master_carton_qty]))*_xlfn.XLOOKUP($A107,tbl_Catalog[sku_id],tbl_Catalog[carton_volume_cbm]),0)</f>
        <v>0.36</v>
      </c>
      <c r="R107" s="41">
        <v>0</v>
      </c>
      <c r="S107" s="41">
        <v>0</v>
      </c>
      <c r="T107" s="41">
        <f>S107*_xlfn.XLOOKUP($A107,tbl_Catalog[sku_id],tbl_Catalog[master_carton_qty])</f>
        <v>0</v>
      </c>
      <c r="U107" s="46">
        <f t="shared" si="25"/>
        <v>0</v>
      </c>
      <c r="V107" s="41">
        <f>IF(_xlfn.XLOOKUP($A107,tbl_Catalog[sku_id],tbl_Catalog[master_carton_qty])&gt;0,U107/_xlfn.XLOOKUP($A107,tbl_Catalog[sku_id],tbl_Catalog[master_carton_qty]),0)</f>
        <v>0</v>
      </c>
      <c r="W107" s="38">
        <f>V107*_xlfn.XLOOKUP($A107,tbl_Catalog[sku_id],tbl_Catalog[carton_volume_cbm])</f>
        <v>0</v>
      </c>
      <c r="X107" s="4" t="str">
        <f t="shared" si="26"/>
        <v>DEFERRED / NO PO</v>
      </c>
      <c r="Y107" s="4" t="str">
        <f>IF(U107=0,"N/A",IF(AND(MOD(U107,_xlfn.XLOOKUP($A107,tbl_Catalog[sku_id],tbl_Catalog[master_carton_qty]))=0,U107&gt;=_xlfn.XLOOKUP($A107,tbl_Catalog[sku_id],tbl_Catalog[sku_moq_units])),"MOQ OK","CHECK"))</f>
        <v>N/A</v>
      </c>
      <c r="Z107" s="4" t="str">
        <f t="shared" si="27"/>
        <v>N/A</v>
      </c>
      <c r="AA107" s="41">
        <v>0</v>
      </c>
      <c r="AB107" s="41">
        <v>6</v>
      </c>
      <c r="AC107" s="4" t="b">
        <v>0</v>
      </c>
    </row>
    <row r="108" spans="1:29" x14ac:dyDescent="0.3">
      <c r="A108" s="36" t="s">
        <v>499</v>
      </c>
      <c r="B108" s="16" t="s">
        <v>404</v>
      </c>
      <c r="C108" s="4" t="s">
        <v>188</v>
      </c>
      <c r="D108" s="41">
        <v>12</v>
      </c>
      <c r="E108" s="41">
        <v>0</v>
      </c>
      <c r="F108" s="42">
        <f>'03_FBA_Nivel1_Transfer'!E108+D108-E108</f>
        <v>71</v>
      </c>
      <c r="G108" s="39">
        <f>'02_Demand_Unconstraining'!R108</f>
        <v>1.3333999999999999</v>
      </c>
      <c r="H108" s="30">
        <f>'02_Demand_Unconstraining'!S108</f>
        <v>1.3288</v>
      </c>
      <c r="I108" s="29">
        <f>_xlfn.XLOOKUP($A108,tbl_Catalog[sku_id],tbl_Catalog[z_score])</f>
        <v>1.282</v>
      </c>
      <c r="J108" s="41">
        <f t="shared" si="21"/>
        <v>23</v>
      </c>
      <c r="K108" s="41">
        <f>'03_FBA_Nivel1_Transfer'!N108</f>
        <v>7</v>
      </c>
      <c r="L108" s="41">
        <f t="shared" si="22"/>
        <v>131</v>
      </c>
      <c r="M108" s="44">
        <f t="shared" si="23"/>
        <v>191</v>
      </c>
      <c r="N108" s="41">
        <f>_xlfn.CEILING.MATH(_xlfn.XLOOKUP($A108,tbl_Catalog[sku_id],tbl_Catalog[sku_moq_units])/_xlfn.XLOOKUP($A108,tbl_Catalog[sku_id],tbl_Catalog[master_carton_qty]),1)</f>
        <v>6</v>
      </c>
      <c r="O108" s="31">
        <f t="shared" si="24"/>
        <v>-44.99775011249438</v>
      </c>
      <c r="P108" s="48">
        <f>_xlfn.LET(_xlpm.ip_sys,$F108,_xlpm.rop_sys,$L108,_xlpm.s_max,$M108,_xlpm.m_qty,_xlfn.XLOOKUP($A108,tbl_Catalog[sku_id],tbl_Catalog[master_carton_qty]),_xlpm.moq,_xlfn.XLOOKUP($A108,tbl_Catalog[sku_id],tbl_Catalog[sku_moq_units]),IF(_xlpm.ip_sys&lt;=_xlpm.rop_sys,_xlfn.CEILING.MATH(MAX(_xlpm.s_max-_xlpm.ip_sys,_xlpm.moq),_xlpm.m_qty),0))</f>
        <v>300</v>
      </c>
      <c r="Q108" s="30">
        <f>IF(P108&gt;0,(P108/_xlfn.XLOOKUP($A108,tbl_Catalog[sku_id],tbl_Catalog[master_carton_qty]))*_xlfn.XLOOKUP($A108,tbl_Catalog[sku_id],tbl_Catalog[carton_volume_cbm]),0)</f>
        <v>0.36</v>
      </c>
      <c r="R108" s="41">
        <v>0</v>
      </c>
      <c r="S108" s="41">
        <v>0</v>
      </c>
      <c r="T108" s="41">
        <f>S108*_xlfn.XLOOKUP($A108,tbl_Catalog[sku_id],tbl_Catalog[master_carton_qty])</f>
        <v>0</v>
      </c>
      <c r="U108" s="46">
        <f t="shared" si="25"/>
        <v>0</v>
      </c>
      <c r="V108" s="41">
        <f>IF(_xlfn.XLOOKUP($A108,tbl_Catalog[sku_id],tbl_Catalog[master_carton_qty])&gt;0,U108/_xlfn.XLOOKUP($A108,tbl_Catalog[sku_id],tbl_Catalog[master_carton_qty]),0)</f>
        <v>0</v>
      </c>
      <c r="W108" s="38">
        <f>V108*_xlfn.XLOOKUP($A108,tbl_Catalog[sku_id],tbl_Catalog[carton_volume_cbm])</f>
        <v>0</v>
      </c>
      <c r="X108" s="4" t="str">
        <f t="shared" si="26"/>
        <v>DEFERRED / NO PO</v>
      </c>
      <c r="Y108" s="4" t="str">
        <f>IF(U108=0,"N/A",IF(AND(MOD(U108,_xlfn.XLOOKUP($A108,tbl_Catalog[sku_id],tbl_Catalog[master_carton_qty]))=0,U108&gt;=_xlfn.XLOOKUP($A108,tbl_Catalog[sku_id],tbl_Catalog[sku_moq_units])),"MOQ OK","CHECK"))</f>
        <v>N/A</v>
      </c>
      <c r="Z108" s="4" t="str">
        <f t="shared" si="27"/>
        <v>N/A</v>
      </c>
      <c r="AA108" s="41">
        <v>300</v>
      </c>
      <c r="AB108" s="41">
        <v>6</v>
      </c>
      <c r="AC108" s="4" t="b">
        <v>0</v>
      </c>
    </row>
    <row r="109" spans="1:29" x14ac:dyDescent="0.3">
      <c r="A109" s="36" t="s">
        <v>502</v>
      </c>
      <c r="B109" s="16" t="s">
        <v>404</v>
      </c>
      <c r="C109" s="4" t="s">
        <v>188</v>
      </c>
      <c r="D109" s="41">
        <v>119</v>
      </c>
      <c r="E109" s="41">
        <v>0</v>
      </c>
      <c r="F109" s="42">
        <f>'03_FBA_Nivel1_Transfer'!E109+D109-E109</f>
        <v>258</v>
      </c>
      <c r="G109" s="39">
        <f>'02_Demand_Unconstraining'!R109</f>
        <v>2.1</v>
      </c>
      <c r="H109" s="30">
        <f>'02_Demand_Unconstraining'!S109</f>
        <v>2.0226999999999999</v>
      </c>
      <c r="I109" s="29">
        <f>_xlfn.XLOOKUP($A109,tbl_Catalog[sku_id],tbl_Catalog[z_score])</f>
        <v>1.282</v>
      </c>
      <c r="J109" s="41">
        <f t="shared" si="21"/>
        <v>36</v>
      </c>
      <c r="K109" s="41">
        <f>'03_FBA_Nivel1_Transfer'!N109</f>
        <v>10</v>
      </c>
      <c r="L109" s="41">
        <f t="shared" si="22"/>
        <v>204</v>
      </c>
      <c r="M109" s="44">
        <f t="shared" si="23"/>
        <v>298</v>
      </c>
      <c r="N109" s="41">
        <f>_xlfn.CEILING.MATH(_xlfn.XLOOKUP($A109,tbl_Catalog[sku_id],tbl_Catalog[sku_moq_units])/_xlfn.XLOOKUP($A109,tbl_Catalog[sku_id],tbl_Catalog[master_carton_qty]),1)</f>
        <v>6</v>
      </c>
      <c r="O109" s="31">
        <f t="shared" si="24"/>
        <v>25.714285714285712</v>
      </c>
      <c r="P109" s="48">
        <f>_xlfn.LET(_xlpm.ip_sys,$F109,_xlpm.rop_sys,$L109,_xlpm.s_max,$M109,_xlpm.m_qty,_xlfn.XLOOKUP($A109,tbl_Catalog[sku_id],tbl_Catalog[master_carton_qty]),_xlpm.moq,_xlfn.XLOOKUP($A109,tbl_Catalog[sku_id],tbl_Catalog[sku_moq_units]),IF(_xlpm.ip_sys&lt;=_xlpm.rop_sys,_xlfn.CEILING.MATH(MAX(_xlpm.s_max-_xlpm.ip_sys,_xlpm.moq),_xlpm.m_qty),0))</f>
        <v>0</v>
      </c>
      <c r="Q109" s="30">
        <f>IF(P109&gt;0,(P109/_xlfn.XLOOKUP($A109,tbl_Catalog[sku_id],tbl_Catalog[master_carton_qty]))*_xlfn.XLOOKUP($A109,tbl_Catalog[sku_id],tbl_Catalog[carton_volume_cbm]),0)</f>
        <v>0</v>
      </c>
      <c r="R109" s="41">
        <v>0</v>
      </c>
      <c r="S109" s="41">
        <v>0</v>
      </c>
      <c r="T109" s="41">
        <f>S109*_xlfn.XLOOKUP($A109,tbl_Catalog[sku_id],tbl_Catalog[master_carton_qty])</f>
        <v>0</v>
      </c>
      <c r="U109" s="46">
        <f t="shared" si="25"/>
        <v>0</v>
      </c>
      <c r="V109" s="41">
        <f>IF(_xlfn.XLOOKUP($A109,tbl_Catalog[sku_id],tbl_Catalog[master_carton_qty])&gt;0,U109/_xlfn.XLOOKUP($A109,tbl_Catalog[sku_id],tbl_Catalog[master_carton_qty]),0)</f>
        <v>0</v>
      </c>
      <c r="W109" s="38">
        <f>V109*_xlfn.XLOOKUP($A109,tbl_Catalog[sku_id],tbl_Catalog[carton_volume_cbm])</f>
        <v>0</v>
      </c>
      <c r="X109" s="4" t="str">
        <f t="shared" si="26"/>
        <v>DEFERRED / NO PO</v>
      </c>
      <c r="Y109" s="4" t="str">
        <f>IF(U109=0,"N/A",IF(AND(MOD(U109,_xlfn.XLOOKUP($A109,tbl_Catalog[sku_id],tbl_Catalog[master_carton_qty]))=0,U109&gt;=_xlfn.XLOOKUP($A109,tbl_Catalog[sku_id],tbl_Catalog[sku_moq_units])),"MOQ OK","CHECK"))</f>
        <v>N/A</v>
      </c>
      <c r="Z109" s="4" t="str">
        <f t="shared" si="27"/>
        <v>N/A</v>
      </c>
      <c r="AA109" s="41">
        <v>0</v>
      </c>
      <c r="AB109" s="41">
        <v>0</v>
      </c>
      <c r="AC109" s="4" t="b">
        <v>0</v>
      </c>
    </row>
    <row r="110" spans="1:29" x14ac:dyDescent="0.3">
      <c r="A110" s="36" t="s">
        <v>505</v>
      </c>
      <c r="B110" s="16" t="s">
        <v>404</v>
      </c>
      <c r="C110" s="4" t="s">
        <v>188</v>
      </c>
      <c r="D110" s="41">
        <v>78</v>
      </c>
      <c r="E110" s="41">
        <v>0</v>
      </c>
      <c r="F110" s="42">
        <f>'03_FBA_Nivel1_Transfer'!E110+D110-E110</f>
        <v>115</v>
      </c>
      <c r="G110" s="39">
        <f>'02_Demand_Unconstraining'!R110</f>
        <v>0.83330000000000004</v>
      </c>
      <c r="H110" s="30">
        <f>'02_Demand_Unconstraining'!S110</f>
        <v>0.89659999999999995</v>
      </c>
      <c r="I110" s="29">
        <f>_xlfn.XLOOKUP($A110,tbl_Catalog[sku_id],tbl_Catalog[z_score])</f>
        <v>1.282</v>
      </c>
      <c r="J110" s="41">
        <f t="shared" si="21"/>
        <v>15</v>
      </c>
      <c r="K110" s="41">
        <f>'03_FBA_Nivel1_Transfer'!N110</f>
        <v>5</v>
      </c>
      <c r="L110" s="41">
        <f t="shared" si="22"/>
        <v>83</v>
      </c>
      <c r="M110" s="44">
        <f t="shared" si="23"/>
        <v>120</v>
      </c>
      <c r="N110" s="41">
        <f>_xlfn.CEILING.MATH(_xlfn.XLOOKUP($A110,tbl_Catalog[sku_id],tbl_Catalog[sku_moq_units])/_xlfn.XLOOKUP($A110,tbl_Catalog[sku_id],tbl_Catalog[master_carton_qty]),1)</f>
        <v>6</v>
      </c>
      <c r="O110" s="31">
        <f t="shared" si="24"/>
        <v>38.401536061442457</v>
      </c>
      <c r="P110" s="48">
        <f>_xlfn.LET(_xlpm.ip_sys,$F110,_xlpm.rop_sys,$L110,_xlpm.s_max,$M110,_xlpm.m_qty,_xlfn.XLOOKUP($A110,tbl_Catalog[sku_id],tbl_Catalog[master_carton_qty]),_xlpm.moq,_xlfn.XLOOKUP($A110,tbl_Catalog[sku_id],tbl_Catalog[sku_moq_units]),IF(_xlpm.ip_sys&lt;=_xlpm.rop_sys,_xlfn.CEILING.MATH(MAX(_xlpm.s_max-_xlpm.ip_sys,_xlpm.moq),_xlpm.m_qty),0))</f>
        <v>0</v>
      </c>
      <c r="Q110" s="30">
        <f>IF(P110&gt;0,(P110/_xlfn.XLOOKUP($A110,tbl_Catalog[sku_id],tbl_Catalog[master_carton_qty]))*_xlfn.XLOOKUP($A110,tbl_Catalog[sku_id],tbl_Catalog[carton_volume_cbm]),0)</f>
        <v>0</v>
      </c>
      <c r="R110" s="41">
        <v>0</v>
      </c>
      <c r="S110" s="41">
        <v>0</v>
      </c>
      <c r="T110" s="41">
        <f>S110*_xlfn.XLOOKUP($A110,tbl_Catalog[sku_id],tbl_Catalog[master_carton_qty])</f>
        <v>0</v>
      </c>
      <c r="U110" s="46">
        <f t="shared" si="25"/>
        <v>0</v>
      </c>
      <c r="V110" s="41">
        <f>IF(_xlfn.XLOOKUP($A110,tbl_Catalog[sku_id],tbl_Catalog[master_carton_qty])&gt;0,U110/_xlfn.XLOOKUP($A110,tbl_Catalog[sku_id],tbl_Catalog[master_carton_qty]),0)</f>
        <v>0</v>
      </c>
      <c r="W110" s="38">
        <f>V110*_xlfn.XLOOKUP($A110,tbl_Catalog[sku_id],tbl_Catalog[carton_volume_cbm])</f>
        <v>0</v>
      </c>
      <c r="X110" s="4" t="str">
        <f t="shared" si="26"/>
        <v>DEFERRED / NO PO</v>
      </c>
      <c r="Y110" s="4" t="str">
        <f>IF(U110=0,"N/A",IF(AND(MOD(U110,_xlfn.XLOOKUP($A110,tbl_Catalog[sku_id],tbl_Catalog[master_carton_qty]))=0,U110&gt;=_xlfn.XLOOKUP($A110,tbl_Catalog[sku_id],tbl_Catalog[sku_moq_units])),"MOQ OK","CHECK"))</f>
        <v>N/A</v>
      </c>
      <c r="Z110" s="4" t="str">
        <f t="shared" si="27"/>
        <v>N/A</v>
      </c>
      <c r="AA110" s="41">
        <v>0</v>
      </c>
      <c r="AB110" s="41">
        <v>0</v>
      </c>
      <c r="AC110" s="4" t="b">
        <v>0</v>
      </c>
    </row>
    <row r="111" spans="1:29" x14ac:dyDescent="0.3">
      <c r="A111" s="36" t="s">
        <v>508</v>
      </c>
      <c r="B111" s="16" t="s">
        <v>404</v>
      </c>
      <c r="C111" s="4" t="s">
        <v>188</v>
      </c>
      <c r="D111" s="41">
        <v>27</v>
      </c>
      <c r="E111" s="41">
        <v>0</v>
      </c>
      <c r="F111" s="42">
        <f>'03_FBA_Nivel1_Transfer'!E111+D111-E111</f>
        <v>80</v>
      </c>
      <c r="G111" s="39">
        <f>'02_Demand_Unconstraining'!R111</f>
        <v>0.86670000000000003</v>
      </c>
      <c r="H111" s="30">
        <f>'02_Demand_Unconstraining'!S111</f>
        <v>0.93959999999999999</v>
      </c>
      <c r="I111" s="29">
        <f>_xlfn.XLOOKUP($A111,tbl_Catalog[sku_id],tbl_Catalog[z_score])</f>
        <v>1.282</v>
      </c>
      <c r="J111" s="41">
        <f t="shared" si="21"/>
        <v>16</v>
      </c>
      <c r="K111" s="41">
        <f>'03_FBA_Nivel1_Transfer'!N111</f>
        <v>6</v>
      </c>
      <c r="L111" s="41">
        <f t="shared" si="22"/>
        <v>88</v>
      </c>
      <c r="M111" s="44">
        <f t="shared" si="23"/>
        <v>127</v>
      </c>
      <c r="N111" s="41">
        <f>_xlfn.CEILING.MATH(_xlfn.XLOOKUP($A111,tbl_Catalog[sku_id],tbl_Catalog[sku_moq_units])/_xlfn.XLOOKUP($A111,tbl_Catalog[sku_id],tbl_Catalog[master_carton_qty]),1)</f>
        <v>6</v>
      </c>
      <c r="O111" s="31">
        <f t="shared" si="24"/>
        <v>-9.2304142148378912</v>
      </c>
      <c r="P111" s="48">
        <f>_xlfn.LET(_xlpm.ip_sys,$F111,_xlpm.rop_sys,$L111,_xlpm.s_max,$M111,_xlpm.m_qty,_xlfn.XLOOKUP($A111,tbl_Catalog[sku_id],tbl_Catalog[master_carton_qty]),_xlpm.moq,_xlfn.XLOOKUP($A111,tbl_Catalog[sku_id],tbl_Catalog[sku_moq_units]),IF(_xlpm.ip_sys&lt;=_xlpm.rop_sys,_xlfn.CEILING.MATH(MAX(_xlpm.s_max-_xlpm.ip_sys,_xlpm.moq),_xlpm.m_qty),0))</f>
        <v>300</v>
      </c>
      <c r="Q111" s="30">
        <f>IF(P111&gt;0,(P111/_xlfn.XLOOKUP($A111,tbl_Catalog[sku_id],tbl_Catalog[master_carton_qty]))*_xlfn.XLOOKUP($A111,tbl_Catalog[sku_id],tbl_Catalog[carton_volume_cbm]),0)</f>
        <v>0.36</v>
      </c>
      <c r="R111" s="41">
        <v>0</v>
      </c>
      <c r="S111" s="41">
        <v>0</v>
      </c>
      <c r="T111" s="41">
        <f>S111*_xlfn.XLOOKUP($A111,tbl_Catalog[sku_id],tbl_Catalog[master_carton_qty])</f>
        <v>0</v>
      </c>
      <c r="U111" s="46">
        <f t="shared" si="25"/>
        <v>0</v>
      </c>
      <c r="V111" s="41">
        <f>IF(_xlfn.XLOOKUP($A111,tbl_Catalog[sku_id],tbl_Catalog[master_carton_qty])&gt;0,U111/_xlfn.XLOOKUP($A111,tbl_Catalog[sku_id],tbl_Catalog[master_carton_qty]),0)</f>
        <v>0</v>
      </c>
      <c r="W111" s="38">
        <f>V111*_xlfn.XLOOKUP($A111,tbl_Catalog[sku_id],tbl_Catalog[carton_volume_cbm])</f>
        <v>0</v>
      </c>
      <c r="X111" s="4" t="str">
        <f t="shared" si="26"/>
        <v>DEFERRED / NO PO</v>
      </c>
      <c r="Y111" s="4" t="str">
        <f>IF(U111=0,"N/A",IF(AND(MOD(U111,_xlfn.XLOOKUP($A111,tbl_Catalog[sku_id],tbl_Catalog[master_carton_qty]))=0,U111&gt;=_xlfn.XLOOKUP($A111,tbl_Catalog[sku_id],tbl_Catalog[sku_moq_units])),"MOQ OK","CHECK"))</f>
        <v>N/A</v>
      </c>
      <c r="Z111" s="4" t="str">
        <f t="shared" si="27"/>
        <v>N/A</v>
      </c>
      <c r="AA111" s="41">
        <v>300</v>
      </c>
      <c r="AB111" s="41">
        <v>6</v>
      </c>
      <c r="AC111" s="4" t="b">
        <v>0</v>
      </c>
    </row>
    <row r="112" spans="1:29" x14ac:dyDescent="0.3">
      <c r="A112" s="36" t="s">
        <v>511</v>
      </c>
      <c r="B112" s="16" t="s">
        <v>404</v>
      </c>
      <c r="C112" s="4" t="s">
        <v>188</v>
      </c>
      <c r="D112" s="41">
        <v>187</v>
      </c>
      <c r="E112" s="41">
        <v>0</v>
      </c>
      <c r="F112" s="42">
        <f>'03_FBA_Nivel1_Transfer'!E112+D112-E112</f>
        <v>197</v>
      </c>
      <c r="G112" s="39">
        <f>'02_Demand_Unconstraining'!R112</f>
        <v>0.5333</v>
      </c>
      <c r="H112" s="30">
        <f>'02_Demand_Unconstraining'!S112</f>
        <v>0.5131</v>
      </c>
      <c r="I112" s="29">
        <f>_xlfn.XLOOKUP($A112,tbl_Catalog[sku_id],tbl_Catalog[z_score])</f>
        <v>1.282</v>
      </c>
      <c r="J112" s="41">
        <f t="shared" si="21"/>
        <v>9</v>
      </c>
      <c r="K112" s="41">
        <f>'03_FBA_Nivel1_Transfer'!N112</f>
        <v>3</v>
      </c>
      <c r="L112" s="41">
        <f t="shared" si="22"/>
        <v>52</v>
      </c>
      <c r="M112" s="44">
        <f t="shared" si="23"/>
        <v>76</v>
      </c>
      <c r="N112" s="41">
        <f>_xlfn.CEILING.MATH(_xlfn.XLOOKUP($A112,tbl_Catalog[sku_id],tbl_Catalog[sku_moq_units])/_xlfn.XLOOKUP($A112,tbl_Catalog[sku_id],tbl_Catalog[master_carton_qty]),1)</f>
        <v>6</v>
      </c>
      <c r="O112" s="31">
        <f t="shared" si="24"/>
        <v>271.89199324957809</v>
      </c>
      <c r="P112" s="48">
        <f>_xlfn.LET(_xlpm.ip_sys,$F112,_xlpm.rop_sys,$L112,_xlpm.s_max,$M112,_xlpm.m_qty,_xlfn.XLOOKUP($A112,tbl_Catalog[sku_id],tbl_Catalog[master_carton_qty]),_xlpm.moq,_xlfn.XLOOKUP($A112,tbl_Catalog[sku_id],tbl_Catalog[sku_moq_units]),IF(_xlpm.ip_sys&lt;=_xlpm.rop_sys,_xlfn.CEILING.MATH(MAX(_xlpm.s_max-_xlpm.ip_sys,_xlpm.moq),_xlpm.m_qty),0))</f>
        <v>0</v>
      </c>
      <c r="Q112" s="30">
        <f>IF(P112&gt;0,(P112/_xlfn.XLOOKUP($A112,tbl_Catalog[sku_id],tbl_Catalog[master_carton_qty]))*_xlfn.XLOOKUP($A112,tbl_Catalog[sku_id],tbl_Catalog[carton_volume_cbm]),0)</f>
        <v>0</v>
      </c>
      <c r="R112" s="41">
        <v>0</v>
      </c>
      <c r="S112" s="41">
        <v>0</v>
      </c>
      <c r="T112" s="41">
        <f>S112*_xlfn.XLOOKUP($A112,tbl_Catalog[sku_id],tbl_Catalog[master_carton_qty])</f>
        <v>0</v>
      </c>
      <c r="U112" s="46">
        <f t="shared" si="25"/>
        <v>0</v>
      </c>
      <c r="V112" s="41">
        <f>IF(_xlfn.XLOOKUP($A112,tbl_Catalog[sku_id],tbl_Catalog[master_carton_qty])&gt;0,U112/_xlfn.XLOOKUP($A112,tbl_Catalog[sku_id],tbl_Catalog[master_carton_qty]),0)</f>
        <v>0</v>
      </c>
      <c r="W112" s="38">
        <f>V112*_xlfn.XLOOKUP($A112,tbl_Catalog[sku_id],tbl_Catalog[carton_volume_cbm])</f>
        <v>0</v>
      </c>
      <c r="X112" s="4" t="str">
        <f t="shared" si="26"/>
        <v>DEFERRED / NO PO</v>
      </c>
      <c r="Y112" s="4" t="str">
        <f>IF(U112=0,"N/A",IF(AND(MOD(U112,_xlfn.XLOOKUP($A112,tbl_Catalog[sku_id],tbl_Catalog[master_carton_qty]))=0,U112&gt;=_xlfn.XLOOKUP($A112,tbl_Catalog[sku_id],tbl_Catalog[sku_moq_units])),"MOQ OK","CHECK"))</f>
        <v>N/A</v>
      </c>
      <c r="Z112" s="4" t="str">
        <f t="shared" si="27"/>
        <v>N/A</v>
      </c>
      <c r="AA112" s="41">
        <v>0</v>
      </c>
      <c r="AB112" s="41">
        <v>0</v>
      </c>
      <c r="AC112" s="4" t="b">
        <v>0</v>
      </c>
    </row>
    <row r="113" spans="1:29" x14ac:dyDescent="0.3">
      <c r="A113" s="36" t="s">
        <v>514</v>
      </c>
      <c r="B113" s="16" t="s">
        <v>515</v>
      </c>
      <c r="C113" s="4" t="s">
        <v>184</v>
      </c>
      <c r="D113" s="41">
        <v>59</v>
      </c>
      <c r="E113" s="41">
        <v>0</v>
      </c>
      <c r="F113" s="42">
        <f>'03_FBA_Nivel1_Transfer'!E113+D113-E113</f>
        <v>242</v>
      </c>
      <c r="G113" s="39">
        <f>'02_Demand_Unconstraining'!R113</f>
        <v>9.1</v>
      </c>
      <c r="H113" s="30">
        <f>'02_Demand_Unconstraining'!S113</f>
        <v>3.1223999999999998</v>
      </c>
      <c r="I113" s="29">
        <f>_xlfn.XLOOKUP($A113,tbl_Catalog[sku_id],tbl_Catalog[z_score])</f>
        <v>1.645</v>
      </c>
      <c r="J113" s="41">
        <f t="shared" si="21"/>
        <v>157</v>
      </c>
      <c r="K113" s="41">
        <f>'03_FBA_Nivel1_Transfer'!N113</f>
        <v>181</v>
      </c>
      <c r="L113" s="41">
        <f t="shared" si="22"/>
        <v>1021</v>
      </c>
      <c r="M113" s="44">
        <f t="shared" si="23"/>
        <v>1430</v>
      </c>
      <c r="N113" s="41">
        <f>_xlfn.CEILING.MATH(_xlfn.XLOOKUP($A113,tbl_Catalog[sku_id],tbl_Catalog[sku_moq_units])/_xlfn.XLOOKUP($A113,tbl_Catalog[sku_id],tbl_Catalog[master_carton_qty]),1)</f>
        <v>5</v>
      </c>
      <c r="O113" s="31">
        <f t="shared" si="24"/>
        <v>-85.604395604395606</v>
      </c>
      <c r="P113" s="48">
        <f>_xlfn.LET(_xlpm.ip_sys,$F113,_xlpm.rop_sys,$L113,_xlpm.s_max,$M113,_xlpm.m_qty,_xlfn.XLOOKUP($A113,tbl_Catalog[sku_id],tbl_Catalog[master_carton_qty]),_xlpm.moq,_xlfn.XLOOKUP($A113,tbl_Catalog[sku_id],tbl_Catalog[sku_moq_units]),IF(_xlpm.ip_sys&lt;=_xlpm.rop_sys,_xlfn.CEILING.MATH(MAX(_xlpm.s_max-_xlpm.ip_sys,_xlpm.moq),_xlpm.m_qty),0))</f>
        <v>1200</v>
      </c>
      <c r="Q113" s="30">
        <f>IF(P113&gt;0,(P113/_xlfn.XLOOKUP($A113,tbl_Catalog[sku_id],tbl_Catalog[master_carton_qty]))*_xlfn.XLOOKUP($A113,tbl_Catalog[sku_id],tbl_Catalog[carton_volume_cbm]),0)</f>
        <v>0.36</v>
      </c>
      <c r="R113" s="41">
        <v>900</v>
      </c>
      <c r="S113" s="41">
        <v>0</v>
      </c>
      <c r="T113" s="41">
        <f>S113*_xlfn.XLOOKUP($A113,tbl_Catalog[sku_id],tbl_Catalog[master_carton_qty])</f>
        <v>0</v>
      </c>
      <c r="U113" s="46">
        <f t="shared" si="25"/>
        <v>900</v>
      </c>
      <c r="V113" s="41">
        <f>IF(_xlfn.XLOOKUP($A113,tbl_Catalog[sku_id],tbl_Catalog[master_carton_qty])&gt;0,U113/_xlfn.XLOOKUP($A113,tbl_Catalog[sku_id],tbl_Catalog[master_carton_qty]),0)</f>
        <v>9</v>
      </c>
      <c r="W113" s="38">
        <f>V113*_xlfn.XLOOKUP($A113,tbl_Catalog[sku_id],tbl_Catalog[carton_volume_cbm])</f>
        <v>0.27</v>
      </c>
      <c r="X113" s="4" t="str">
        <f t="shared" si="26"/>
        <v>BASE LOAD</v>
      </c>
      <c r="Y113" s="4" t="str">
        <f>IF(U113=0,"N/A",IF(AND(MOD(U113,_xlfn.XLOOKUP($A113,tbl_Catalog[sku_id],tbl_Catalog[master_carton_qty]))=0,U113&gt;=_xlfn.XLOOKUP($A113,tbl_Catalog[sku_id],tbl_Catalog[sku_moq_units])),"MOQ OK","CHECK"))</f>
        <v>MOQ OK</v>
      </c>
      <c r="Z113" s="4" t="str">
        <f t="shared" si="27"/>
        <v>DOS OK</v>
      </c>
      <c r="AA113" s="41">
        <v>500</v>
      </c>
      <c r="AB113" s="41">
        <v>0</v>
      </c>
      <c r="AC113" s="4" t="b">
        <v>0</v>
      </c>
    </row>
    <row r="114" spans="1:29" x14ac:dyDescent="0.3">
      <c r="A114" s="36" t="s">
        <v>521</v>
      </c>
      <c r="B114" s="16" t="s">
        <v>515</v>
      </c>
      <c r="C114" s="4" t="s">
        <v>184</v>
      </c>
      <c r="D114" s="41">
        <v>3</v>
      </c>
      <c r="E114" s="41">
        <v>0</v>
      </c>
      <c r="F114" s="42">
        <f>'03_FBA_Nivel1_Transfer'!E114+D114-E114</f>
        <v>152</v>
      </c>
      <c r="G114" s="39">
        <f>'02_Demand_Unconstraining'!R114</f>
        <v>6.5</v>
      </c>
      <c r="H114" s="30">
        <f>'02_Demand_Unconstraining'!S114</f>
        <v>2.3877000000000002</v>
      </c>
      <c r="I114" s="29">
        <f>_xlfn.XLOOKUP($A114,tbl_Catalog[sku_id],tbl_Catalog[z_score])</f>
        <v>1.645</v>
      </c>
      <c r="J114" s="41">
        <f t="shared" si="21"/>
        <v>113</v>
      </c>
      <c r="K114" s="41">
        <f>'03_FBA_Nivel1_Transfer'!N114</f>
        <v>134</v>
      </c>
      <c r="L114" s="41">
        <f t="shared" si="22"/>
        <v>735</v>
      </c>
      <c r="M114" s="44">
        <f t="shared" si="23"/>
        <v>1027</v>
      </c>
      <c r="N114" s="41">
        <f>_xlfn.CEILING.MATH(_xlfn.XLOOKUP($A114,tbl_Catalog[sku_id],tbl_Catalog[sku_moq_units])/_xlfn.XLOOKUP($A114,tbl_Catalog[sku_id],tbl_Catalog[master_carton_qty]),1)</f>
        <v>5</v>
      </c>
      <c r="O114" s="31">
        <f t="shared" si="24"/>
        <v>-89.692307692307693</v>
      </c>
      <c r="P114" s="48">
        <f>_xlfn.LET(_xlpm.ip_sys,$F114,_xlpm.rop_sys,$L114,_xlpm.s_max,$M114,_xlpm.m_qty,_xlfn.XLOOKUP($A114,tbl_Catalog[sku_id],tbl_Catalog[master_carton_qty]),_xlpm.moq,_xlfn.XLOOKUP($A114,tbl_Catalog[sku_id],tbl_Catalog[sku_moq_units]),IF(_xlpm.ip_sys&lt;=_xlpm.rop_sys,_xlfn.CEILING.MATH(MAX(_xlpm.s_max-_xlpm.ip_sys,_xlpm.moq),_xlpm.m_qty),0))</f>
        <v>900</v>
      </c>
      <c r="Q114" s="30">
        <f>IF(P114&gt;0,(P114/_xlfn.XLOOKUP($A114,tbl_Catalog[sku_id],tbl_Catalog[master_carton_qty]))*_xlfn.XLOOKUP($A114,tbl_Catalog[sku_id],tbl_Catalog[carton_volume_cbm]),0)</f>
        <v>0.27</v>
      </c>
      <c r="R114" s="41">
        <v>700</v>
      </c>
      <c r="S114" s="41">
        <v>0</v>
      </c>
      <c r="T114" s="41">
        <f>S114*_xlfn.XLOOKUP($A114,tbl_Catalog[sku_id],tbl_Catalog[master_carton_qty])</f>
        <v>0</v>
      </c>
      <c r="U114" s="46">
        <f t="shared" si="25"/>
        <v>700</v>
      </c>
      <c r="V114" s="41">
        <f>IF(_xlfn.XLOOKUP($A114,tbl_Catalog[sku_id],tbl_Catalog[master_carton_qty])&gt;0,U114/_xlfn.XLOOKUP($A114,tbl_Catalog[sku_id],tbl_Catalog[master_carton_qty]),0)</f>
        <v>7</v>
      </c>
      <c r="W114" s="38">
        <f>V114*_xlfn.XLOOKUP($A114,tbl_Catalog[sku_id],tbl_Catalog[carton_volume_cbm])</f>
        <v>0.21</v>
      </c>
      <c r="X114" s="4" t="str">
        <f t="shared" si="26"/>
        <v>BASE LOAD</v>
      </c>
      <c r="Y114" s="4" t="str">
        <f>IF(U114=0,"N/A",IF(AND(MOD(U114,_xlfn.XLOOKUP($A114,tbl_Catalog[sku_id],tbl_Catalog[master_carton_qty]))=0,U114&gt;=_xlfn.XLOOKUP($A114,tbl_Catalog[sku_id],tbl_Catalog[sku_moq_units])),"MOQ OK","CHECK"))</f>
        <v>MOQ OK</v>
      </c>
      <c r="Z114" s="4" t="str">
        <f t="shared" si="27"/>
        <v>DOS OK</v>
      </c>
      <c r="AA114" s="41">
        <v>500</v>
      </c>
      <c r="AB114" s="41">
        <v>0</v>
      </c>
      <c r="AC114" s="4" t="b">
        <v>0</v>
      </c>
    </row>
    <row r="115" spans="1:29" x14ac:dyDescent="0.3">
      <c r="A115" s="36" t="s">
        <v>524</v>
      </c>
      <c r="B115" s="16" t="s">
        <v>515</v>
      </c>
      <c r="C115" s="4" t="s">
        <v>184</v>
      </c>
      <c r="D115" s="41">
        <v>17</v>
      </c>
      <c r="E115" s="41">
        <v>0</v>
      </c>
      <c r="F115" s="42">
        <f>'03_FBA_Nivel1_Transfer'!E115+D115-E115</f>
        <v>350</v>
      </c>
      <c r="G115" s="39">
        <f>'02_Demand_Unconstraining'!R115</f>
        <v>6.8666999999999998</v>
      </c>
      <c r="H115" s="30">
        <f>'02_Demand_Unconstraining'!S115</f>
        <v>2.5158</v>
      </c>
      <c r="I115" s="29">
        <f>_xlfn.XLOOKUP($A115,tbl_Catalog[sku_id],tbl_Catalog[z_score])</f>
        <v>1.645</v>
      </c>
      <c r="J115" s="41">
        <f t="shared" si="21"/>
        <v>119</v>
      </c>
      <c r="K115" s="41">
        <f>'03_FBA_Nivel1_Transfer'!N115</f>
        <v>140</v>
      </c>
      <c r="L115" s="41">
        <f t="shared" si="22"/>
        <v>775</v>
      </c>
      <c r="M115" s="44">
        <f t="shared" si="23"/>
        <v>1084</v>
      </c>
      <c r="N115" s="41">
        <f>_xlfn.CEILING.MATH(_xlfn.XLOOKUP($A115,tbl_Catalog[sku_id],tbl_Catalog[sku_moq_units])/_xlfn.XLOOKUP($A115,tbl_Catalog[sku_id],tbl_Catalog[master_carton_qty]),1)</f>
        <v>5</v>
      </c>
      <c r="O115" s="31">
        <f t="shared" si="24"/>
        <v>-61.892903432507609</v>
      </c>
      <c r="P115" s="48">
        <f>_xlfn.LET(_xlpm.ip_sys,$F115,_xlpm.rop_sys,$L115,_xlpm.s_max,$M115,_xlpm.m_qty,_xlfn.XLOOKUP($A115,tbl_Catalog[sku_id],tbl_Catalog[master_carton_qty]),_xlpm.moq,_xlfn.XLOOKUP($A115,tbl_Catalog[sku_id],tbl_Catalog[sku_moq_units]),IF(_xlpm.ip_sys&lt;=_xlpm.rop_sys,_xlfn.CEILING.MATH(MAX(_xlpm.s_max-_xlpm.ip_sys,_xlpm.moq),_xlpm.m_qty),0))</f>
        <v>800</v>
      </c>
      <c r="Q115" s="30">
        <f>IF(P115&gt;0,(P115/_xlfn.XLOOKUP($A115,tbl_Catalog[sku_id],tbl_Catalog[master_carton_qty]))*_xlfn.XLOOKUP($A115,tbl_Catalog[sku_id],tbl_Catalog[carton_volume_cbm]),0)</f>
        <v>0.24</v>
      </c>
      <c r="R115" s="41">
        <v>0</v>
      </c>
      <c r="S115" s="41">
        <v>0</v>
      </c>
      <c r="T115" s="41">
        <f>S115*_xlfn.XLOOKUP($A115,tbl_Catalog[sku_id],tbl_Catalog[master_carton_qty])</f>
        <v>0</v>
      </c>
      <c r="U115" s="46">
        <f t="shared" si="25"/>
        <v>0</v>
      </c>
      <c r="V115" s="41">
        <f>IF(_xlfn.XLOOKUP($A115,tbl_Catalog[sku_id],tbl_Catalog[master_carton_qty])&gt;0,U115/_xlfn.XLOOKUP($A115,tbl_Catalog[sku_id],tbl_Catalog[master_carton_qty]),0)</f>
        <v>0</v>
      </c>
      <c r="W115" s="38">
        <f>V115*_xlfn.XLOOKUP($A115,tbl_Catalog[sku_id],tbl_Catalog[carton_volume_cbm])</f>
        <v>0</v>
      </c>
      <c r="X115" s="4" t="str">
        <f t="shared" si="26"/>
        <v>DEFERRED / NO PO</v>
      </c>
      <c r="Y115" s="4" t="str">
        <f>IF(U115=0,"N/A",IF(AND(MOD(U115,_xlfn.XLOOKUP($A115,tbl_Catalog[sku_id],tbl_Catalog[master_carton_qty]))=0,U115&gt;=_xlfn.XLOOKUP($A115,tbl_Catalog[sku_id],tbl_Catalog[sku_moq_units])),"MOQ OK","CHECK"))</f>
        <v>N/A</v>
      </c>
      <c r="Z115" s="4" t="str">
        <f t="shared" si="27"/>
        <v>N/A</v>
      </c>
      <c r="AA115" s="41">
        <v>500</v>
      </c>
      <c r="AB115" s="41">
        <v>5</v>
      </c>
      <c r="AC115" s="4" t="b">
        <v>0</v>
      </c>
    </row>
    <row r="116" spans="1:29" x14ac:dyDescent="0.3">
      <c r="A116" s="36" t="s">
        <v>527</v>
      </c>
      <c r="B116" s="16" t="s">
        <v>515</v>
      </c>
      <c r="C116" s="4" t="s">
        <v>188</v>
      </c>
      <c r="D116" s="41">
        <v>477</v>
      </c>
      <c r="E116" s="41">
        <v>0</v>
      </c>
      <c r="F116" s="42">
        <f>'03_FBA_Nivel1_Transfer'!E116+D116-E116</f>
        <v>477</v>
      </c>
      <c r="G116" s="39">
        <f>'02_Demand_Unconstraining'!R116</f>
        <v>2.2732000000000001</v>
      </c>
      <c r="H116" s="30">
        <f>'02_Demand_Unconstraining'!S116</f>
        <v>1.4077999999999999</v>
      </c>
      <c r="I116" s="29">
        <f>_xlfn.XLOOKUP($A116,tbl_Catalog[sku_id],tbl_Catalog[z_score])</f>
        <v>1.282</v>
      </c>
      <c r="J116" s="41">
        <f t="shared" si="21"/>
        <v>34</v>
      </c>
      <c r="K116" s="41">
        <f>'03_FBA_Nivel1_Transfer'!N116</f>
        <v>8</v>
      </c>
      <c r="L116" s="41">
        <f t="shared" si="22"/>
        <v>213</v>
      </c>
      <c r="M116" s="44">
        <f t="shared" si="23"/>
        <v>315</v>
      </c>
      <c r="N116" s="41">
        <f>_xlfn.CEILING.MATH(_xlfn.XLOOKUP($A116,tbl_Catalog[sku_id],tbl_Catalog[sku_moq_units])/_xlfn.XLOOKUP($A116,tbl_Catalog[sku_id],tbl_Catalog[master_carton_qty]),1)</f>
        <v>5</v>
      </c>
      <c r="O116" s="31">
        <f t="shared" si="24"/>
        <v>116.13584374450114</v>
      </c>
      <c r="P116" s="48">
        <f>_xlfn.LET(_xlpm.ip_sys,$F116,_xlpm.rop_sys,$L116,_xlpm.s_max,$M116,_xlpm.m_qty,_xlfn.XLOOKUP($A116,tbl_Catalog[sku_id],tbl_Catalog[master_carton_qty]),_xlpm.moq,_xlfn.XLOOKUP($A116,tbl_Catalog[sku_id],tbl_Catalog[sku_moq_units]),IF(_xlpm.ip_sys&lt;=_xlpm.rop_sys,_xlfn.CEILING.MATH(MAX(_xlpm.s_max-_xlpm.ip_sys,_xlpm.moq),_xlpm.m_qty),0))</f>
        <v>0</v>
      </c>
      <c r="Q116" s="30">
        <f>IF(P116&gt;0,(P116/_xlfn.XLOOKUP($A116,tbl_Catalog[sku_id],tbl_Catalog[master_carton_qty]))*_xlfn.XLOOKUP($A116,tbl_Catalog[sku_id],tbl_Catalog[carton_volume_cbm]),0)</f>
        <v>0</v>
      </c>
      <c r="R116" s="41">
        <v>0</v>
      </c>
      <c r="S116" s="41">
        <v>0</v>
      </c>
      <c r="T116" s="41">
        <f>S116*_xlfn.XLOOKUP($A116,tbl_Catalog[sku_id],tbl_Catalog[master_carton_qty])</f>
        <v>0</v>
      </c>
      <c r="U116" s="46">
        <f t="shared" si="25"/>
        <v>0</v>
      </c>
      <c r="V116" s="41">
        <f>IF(_xlfn.XLOOKUP($A116,tbl_Catalog[sku_id],tbl_Catalog[master_carton_qty])&gt;0,U116/_xlfn.XLOOKUP($A116,tbl_Catalog[sku_id],tbl_Catalog[master_carton_qty]),0)</f>
        <v>0</v>
      </c>
      <c r="W116" s="38">
        <f>V116*_xlfn.XLOOKUP($A116,tbl_Catalog[sku_id],tbl_Catalog[carton_volume_cbm])</f>
        <v>0</v>
      </c>
      <c r="X116" s="4" t="str">
        <f t="shared" si="26"/>
        <v>DEFERRED / NO PO</v>
      </c>
      <c r="Y116" s="4" t="str">
        <f>IF(U116=0,"N/A",IF(AND(MOD(U116,_xlfn.XLOOKUP($A116,tbl_Catalog[sku_id],tbl_Catalog[master_carton_qty]))=0,U116&gt;=_xlfn.XLOOKUP($A116,tbl_Catalog[sku_id],tbl_Catalog[sku_moq_units])),"MOQ OK","CHECK"))</f>
        <v>N/A</v>
      </c>
      <c r="Z116" s="4" t="str">
        <f t="shared" si="27"/>
        <v>N/A</v>
      </c>
      <c r="AA116" s="41">
        <v>0</v>
      </c>
      <c r="AB116" s="41">
        <v>0</v>
      </c>
      <c r="AC116" s="4" t="b">
        <v>0</v>
      </c>
    </row>
    <row r="117" spans="1:29" x14ac:dyDescent="0.3">
      <c r="A117" s="36" t="s">
        <v>530</v>
      </c>
      <c r="B117" s="16" t="s">
        <v>515</v>
      </c>
      <c r="C117" s="4" t="s">
        <v>179</v>
      </c>
      <c r="D117" s="41">
        <v>192</v>
      </c>
      <c r="E117" s="41">
        <v>0</v>
      </c>
      <c r="F117" s="42">
        <f>'03_FBA_Nivel1_Transfer'!E117+D117-E117</f>
        <v>405</v>
      </c>
      <c r="G117" s="39">
        <f>'02_Demand_Unconstraining'!R117</f>
        <v>7.2666000000000004</v>
      </c>
      <c r="H117" s="30">
        <f>'02_Demand_Unconstraining'!S117</f>
        <v>3.5583999999999998</v>
      </c>
      <c r="I117" s="29">
        <f>_xlfn.XLOOKUP($A117,tbl_Catalog[sku_id],tbl_Catalog[z_score])</f>
        <v>1.645</v>
      </c>
      <c r="J117" s="41">
        <f t="shared" si="21"/>
        <v>130</v>
      </c>
      <c r="K117" s="41">
        <f>'03_FBA_Nivel1_Transfer'!N117</f>
        <v>139</v>
      </c>
      <c r="L117" s="41">
        <f t="shared" si="22"/>
        <v>814</v>
      </c>
      <c r="M117" s="44">
        <f t="shared" si="23"/>
        <v>1141</v>
      </c>
      <c r="N117" s="41">
        <f>_xlfn.CEILING.MATH(_xlfn.XLOOKUP($A117,tbl_Catalog[sku_id],tbl_Catalog[sku_moq_units])/_xlfn.XLOOKUP($A117,tbl_Catalog[sku_id],tbl_Catalog[master_carton_qty]),1)</f>
        <v>5</v>
      </c>
      <c r="O117" s="31">
        <f t="shared" si="24"/>
        <v>-56.284920045138023</v>
      </c>
      <c r="P117" s="48">
        <f>_xlfn.LET(_xlpm.ip_sys,$F117,_xlpm.rop_sys,$L117,_xlpm.s_max,$M117,_xlpm.m_qty,_xlfn.XLOOKUP($A117,tbl_Catalog[sku_id],tbl_Catalog[master_carton_qty]),_xlpm.moq,_xlfn.XLOOKUP($A117,tbl_Catalog[sku_id],tbl_Catalog[sku_moq_units]),IF(_xlpm.ip_sys&lt;=_xlpm.rop_sys,_xlfn.CEILING.MATH(MAX(_xlpm.s_max-_xlpm.ip_sys,_xlpm.moq),_xlpm.m_qty),0))</f>
        <v>800</v>
      </c>
      <c r="Q117" s="30">
        <f>IF(P117&gt;0,(P117/_xlfn.XLOOKUP($A117,tbl_Catalog[sku_id],tbl_Catalog[master_carton_qty]))*_xlfn.XLOOKUP($A117,tbl_Catalog[sku_id],tbl_Catalog[carton_volume_cbm]),0)</f>
        <v>0.24</v>
      </c>
      <c r="R117" s="41">
        <v>0</v>
      </c>
      <c r="S117" s="41">
        <v>0</v>
      </c>
      <c r="T117" s="41">
        <f>S117*_xlfn.XLOOKUP($A117,tbl_Catalog[sku_id],tbl_Catalog[master_carton_qty])</f>
        <v>0</v>
      </c>
      <c r="U117" s="46">
        <f t="shared" si="25"/>
        <v>0</v>
      </c>
      <c r="V117" s="41">
        <f>IF(_xlfn.XLOOKUP($A117,tbl_Catalog[sku_id],tbl_Catalog[master_carton_qty])&gt;0,U117/_xlfn.XLOOKUP($A117,tbl_Catalog[sku_id],tbl_Catalog[master_carton_qty]),0)</f>
        <v>0</v>
      </c>
      <c r="W117" s="38">
        <f>V117*_xlfn.XLOOKUP($A117,tbl_Catalog[sku_id],tbl_Catalog[carton_volume_cbm])</f>
        <v>0</v>
      </c>
      <c r="X117" s="4" t="str">
        <f t="shared" si="26"/>
        <v>DEFERRED / NO PO</v>
      </c>
      <c r="Y117" s="4" t="str">
        <f>IF(U117=0,"N/A",IF(AND(MOD(U117,_xlfn.XLOOKUP($A117,tbl_Catalog[sku_id],tbl_Catalog[master_carton_qty]))=0,U117&gt;=_xlfn.XLOOKUP($A117,tbl_Catalog[sku_id],tbl_Catalog[sku_moq_units])),"MOQ OK","CHECK"))</f>
        <v>N/A</v>
      </c>
      <c r="Z117" s="4" t="str">
        <f t="shared" si="27"/>
        <v>N/A</v>
      </c>
      <c r="AA117" s="41">
        <v>500</v>
      </c>
      <c r="AB117" s="41">
        <v>5</v>
      </c>
      <c r="AC117" s="4" t="b">
        <v>0</v>
      </c>
    </row>
    <row r="118" spans="1:29" x14ac:dyDescent="0.3">
      <c r="A118" s="36" t="s">
        <v>533</v>
      </c>
      <c r="B118" s="16" t="s">
        <v>515</v>
      </c>
      <c r="C118" s="4" t="s">
        <v>188</v>
      </c>
      <c r="D118" s="41">
        <v>256</v>
      </c>
      <c r="E118" s="41">
        <v>0</v>
      </c>
      <c r="F118" s="42">
        <f>'03_FBA_Nivel1_Transfer'!E118+D118-E118</f>
        <v>346</v>
      </c>
      <c r="G118" s="39">
        <f>'02_Demand_Unconstraining'!R118</f>
        <v>1.6</v>
      </c>
      <c r="H118" s="30">
        <f>'02_Demand_Unconstraining'!S118</f>
        <v>1.6312</v>
      </c>
      <c r="I118" s="29">
        <f>_xlfn.XLOOKUP($A118,tbl_Catalog[sku_id],tbl_Catalog[z_score])</f>
        <v>1.282</v>
      </c>
      <c r="J118" s="41">
        <f t="shared" si="21"/>
        <v>28</v>
      </c>
      <c r="K118" s="41">
        <f>'03_FBA_Nivel1_Transfer'!N118</f>
        <v>9</v>
      </c>
      <c r="L118" s="41">
        <f t="shared" si="22"/>
        <v>157</v>
      </c>
      <c r="M118" s="44">
        <f t="shared" si="23"/>
        <v>229</v>
      </c>
      <c r="N118" s="41">
        <f>_xlfn.CEILING.MATH(_xlfn.XLOOKUP($A118,tbl_Catalog[sku_id],tbl_Catalog[sku_moq_units])/_xlfn.XLOOKUP($A118,tbl_Catalog[sku_id],tbl_Catalog[master_carton_qty]),1)</f>
        <v>5</v>
      </c>
      <c r="O118" s="31">
        <f t="shared" si="24"/>
        <v>118.125</v>
      </c>
      <c r="P118" s="48">
        <f>_xlfn.LET(_xlpm.ip_sys,$F118,_xlpm.rop_sys,$L118,_xlpm.s_max,$M118,_xlpm.m_qty,_xlfn.XLOOKUP($A118,tbl_Catalog[sku_id],tbl_Catalog[master_carton_qty]),_xlpm.moq,_xlfn.XLOOKUP($A118,tbl_Catalog[sku_id],tbl_Catalog[sku_moq_units]),IF(_xlpm.ip_sys&lt;=_xlpm.rop_sys,_xlfn.CEILING.MATH(MAX(_xlpm.s_max-_xlpm.ip_sys,_xlpm.moq),_xlpm.m_qty),0))</f>
        <v>0</v>
      </c>
      <c r="Q118" s="30">
        <f>IF(P118&gt;0,(P118/_xlfn.XLOOKUP($A118,tbl_Catalog[sku_id],tbl_Catalog[master_carton_qty]))*_xlfn.XLOOKUP($A118,tbl_Catalog[sku_id],tbl_Catalog[carton_volume_cbm]),0)</f>
        <v>0</v>
      </c>
      <c r="R118" s="41">
        <v>0</v>
      </c>
      <c r="S118" s="41">
        <v>0</v>
      </c>
      <c r="T118" s="41">
        <f>S118*_xlfn.XLOOKUP($A118,tbl_Catalog[sku_id],tbl_Catalog[master_carton_qty])</f>
        <v>0</v>
      </c>
      <c r="U118" s="46">
        <f t="shared" si="25"/>
        <v>0</v>
      </c>
      <c r="V118" s="41">
        <f>IF(_xlfn.XLOOKUP($A118,tbl_Catalog[sku_id],tbl_Catalog[master_carton_qty])&gt;0,U118/_xlfn.XLOOKUP($A118,tbl_Catalog[sku_id],tbl_Catalog[master_carton_qty]),0)</f>
        <v>0</v>
      </c>
      <c r="W118" s="38">
        <f>V118*_xlfn.XLOOKUP($A118,tbl_Catalog[sku_id],tbl_Catalog[carton_volume_cbm])</f>
        <v>0</v>
      </c>
      <c r="X118" s="4" t="str">
        <f t="shared" si="26"/>
        <v>DEFERRED / NO PO</v>
      </c>
      <c r="Y118" s="4" t="str">
        <f>IF(U118=0,"N/A",IF(AND(MOD(U118,_xlfn.XLOOKUP($A118,tbl_Catalog[sku_id],tbl_Catalog[master_carton_qty]))=0,U118&gt;=_xlfn.XLOOKUP($A118,tbl_Catalog[sku_id],tbl_Catalog[sku_moq_units])),"MOQ OK","CHECK"))</f>
        <v>N/A</v>
      </c>
      <c r="Z118" s="4" t="str">
        <f t="shared" si="27"/>
        <v>N/A</v>
      </c>
      <c r="AA118" s="41">
        <v>0</v>
      </c>
      <c r="AB118" s="41">
        <v>0</v>
      </c>
      <c r="AC118" s="4" t="b">
        <v>0</v>
      </c>
    </row>
    <row r="119" spans="1:29" x14ac:dyDescent="0.3">
      <c r="A119" s="36" t="s">
        <v>536</v>
      </c>
      <c r="B119" s="16" t="s">
        <v>515</v>
      </c>
      <c r="C119" s="4" t="s">
        <v>188</v>
      </c>
      <c r="D119" s="41">
        <v>202</v>
      </c>
      <c r="E119" s="41">
        <v>0</v>
      </c>
      <c r="F119" s="42">
        <f>'03_FBA_Nivel1_Transfer'!E119+D119-E119</f>
        <v>272</v>
      </c>
      <c r="G119" s="39">
        <f>'02_Demand_Unconstraining'!R119</f>
        <v>2.2332999999999998</v>
      </c>
      <c r="H119" s="30">
        <f>'02_Demand_Unconstraining'!S119</f>
        <v>2.1549999999999998</v>
      </c>
      <c r="I119" s="29">
        <f>_xlfn.XLOOKUP($A119,tbl_Catalog[sku_id],tbl_Catalog[z_score])</f>
        <v>1.282</v>
      </c>
      <c r="J119" s="41">
        <f t="shared" si="21"/>
        <v>38</v>
      </c>
      <c r="K119" s="41">
        <f>'03_FBA_Nivel1_Transfer'!N119</f>
        <v>12</v>
      </c>
      <c r="L119" s="41">
        <f t="shared" si="22"/>
        <v>218</v>
      </c>
      <c r="M119" s="44">
        <f t="shared" si="23"/>
        <v>318</v>
      </c>
      <c r="N119" s="41">
        <f>_xlfn.CEILING.MATH(_xlfn.XLOOKUP($A119,tbl_Catalog[sku_id],tbl_Catalog[sku_moq_units])/_xlfn.XLOOKUP($A119,tbl_Catalog[sku_id],tbl_Catalog[master_carton_qty]),1)</f>
        <v>5</v>
      </c>
      <c r="O119" s="31">
        <f t="shared" si="24"/>
        <v>24.179465365154705</v>
      </c>
      <c r="P119" s="48">
        <f>_xlfn.LET(_xlpm.ip_sys,$F119,_xlpm.rop_sys,$L119,_xlpm.s_max,$M119,_xlpm.m_qty,_xlfn.XLOOKUP($A119,tbl_Catalog[sku_id],tbl_Catalog[master_carton_qty]),_xlpm.moq,_xlfn.XLOOKUP($A119,tbl_Catalog[sku_id],tbl_Catalog[sku_moq_units]),IF(_xlpm.ip_sys&lt;=_xlpm.rop_sys,_xlfn.CEILING.MATH(MAX(_xlpm.s_max-_xlpm.ip_sys,_xlpm.moq),_xlpm.m_qty),0))</f>
        <v>0</v>
      </c>
      <c r="Q119" s="30">
        <f>IF(P119&gt;0,(P119/_xlfn.XLOOKUP($A119,tbl_Catalog[sku_id],tbl_Catalog[master_carton_qty]))*_xlfn.XLOOKUP($A119,tbl_Catalog[sku_id],tbl_Catalog[carton_volume_cbm]),0)</f>
        <v>0</v>
      </c>
      <c r="R119" s="41">
        <v>0</v>
      </c>
      <c r="S119" s="41">
        <v>0</v>
      </c>
      <c r="T119" s="41">
        <f>S119*_xlfn.XLOOKUP($A119,tbl_Catalog[sku_id],tbl_Catalog[master_carton_qty])</f>
        <v>0</v>
      </c>
      <c r="U119" s="46">
        <f t="shared" si="25"/>
        <v>0</v>
      </c>
      <c r="V119" s="41">
        <f>IF(_xlfn.XLOOKUP($A119,tbl_Catalog[sku_id],tbl_Catalog[master_carton_qty])&gt;0,U119/_xlfn.XLOOKUP($A119,tbl_Catalog[sku_id],tbl_Catalog[master_carton_qty]),0)</f>
        <v>0</v>
      </c>
      <c r="W119" s="38">
        <f>V119*_xlfn.XLOOKUP($A119,tbl_Catalog[sku_id],tbl_Catalog[carton_volume_cbm])</f>
        <v>0</v>
      </c>
      <c r="X119" s="4" t="str">
        <f t="shared" si="26"/>
        <v>DEFERRED / NO PO</v>
      </c>
      <c r="Y119" s="4" t="str">
        <f>IF(U119=0,"N/A",IF(AND(MOD(U119,_xlfn.XLOOKUP($A119,tbl_Catalog[sku_id],tbl_Catalog[master_carton_qty]))=0,U119&gt;=_xlfn.XLOOKUP($A119,tbl_Catalog[sku_id],tbl_Catalog[sku_moq_units])),"MOQ OK","CHECK"))</f>
        <v>N/A</v>
      </c>
      <c r="Z119" s="4" t="str">
        <f t="shared" si="27"/>
        <v>N/A</v>
      </c>
      <c r="AA119" s="41">
        <v>0</v>
      </c>
      <c r="AB119" s="41">
        <v>0</v>
      </c>
      <c r="AC119" s="4" t="b">
        <v>0</v>
      </c>
    </row>
    <row r="120" spans="1:29" x14ac:dyDescent="0.3">
      <c r="A120" s="36" t="s">
        <v>539</v>
      </c>
      <c r="B120" s="16" t="s">
        <v>515</v>
      </c>
      <c r="C120" s="4" t="s">
        <v>188</v>
      </c>
      <c r="D120" s="41">
        <v>367</v>
      </c>
      <c r="E120" s="41">
        <v>0</v>
      </c>
      <c r="F120" s="42">
        <f>'03_FBA_Nivel1_Transfer'!E120+D120-E120</f>
        <v>412</v>
      </c>
      <c r="G120" s="39">
        <f>'02_Demand_Unconstraining'!R120</f>
        <v>1.5</v>
      </c>
      <c r="H120" s="30">
        <f>'02_Demand_Unconstraining'!S120</f>
        <v>1.5543</v>
      </c>
      <c r="I120" s="29">
        <f>_xlfn.XLOOKUP($A120,tbl_Catalog[sku_id],tbl_Catalog[z_score])</f>
        <v>1.282</v>
      </c>
      <c r="J120" s="41">
        <f t="shared" si="21"/>
        <v>26</v>
      </c>
      <c r="K120" s="41">
        <f>'03_FBA_Nivel1_Transfer'!N120</f>
        <v>9</v>
      </c>
      <c r="L120" s="41">
        <f t="shared" si="22"/>
        <v>148</v>
      </c>
      <c r="M120" s="44">
        <f t="shared" si="23"/>
        <v>215</v>
      </c>
      <c r="N120" s="41">
        <f>_xlfn.CEILING.MATH(_xlfn.XLOOKUP($A120,tbl_Catalog[sku_id],tbl_Catalog[sku_moq_units])/_xlfn.XLOOKUP($A120,tbl_Catalog[sku_id],tbl_Catalog[master_carton_qty]),1)</f>
        <v>5</v>
      </c>
      <c r="O120" s="31">
        <f t="shared" si="24"/>
        <v>176</v>
      </c>
      <c r="P120" s="48">
        <f>_xlfn.LET(_xlpm.ip_sys,$F120,_xlpm.rop_sys,$L120,_xlpm.s_max,$M120,_xlpm.m_qty,_xlfn.XLOOKUP($A120,tbl_Catalog[sku_id],tbl_Catalog[master_carton_qty]),_xlpm.moq,_xlfn.XLOOKUP($A120,tbl_Catalog[sku_id],tbl_Catalog[sku_moq_units]),IF(_xlpm.ip_sys&lt;=_xlpm.rop_sys,_xlfn.CEILING.MATH(MAX(_xlpm.s_max-_xlpm.ip_sys,_xlpm.moq),_xlpm.m_qty),0))</f>
        <v>0</v>
      </c>
      <c r="Q120" s="30">
        <f>IF(P120&gt;0,(P120/_xlfn.XLOOKUP($A120,tbl_Catalog[sku_id],tbl_Catalog[master_carton_qty]))*_xlfn.XLOOKUP($A120,tbl_Catalog[sku_id],tbl_Catalog[carton_volume_cbm]),0)</f>
        <v>0</v>
      </c>
      <c r="R120" s="41">
        <v>0</v>
      </c>
      <c r="S120" s="41">
        <v>0</v>
      </c>
      <c r="T120" s="41">
        <f>S120*_xlfn.XLOOKUP($A120,tbl_Catalog[sku_id],tbl_Catalog[master_carton_qty])</f>
        <v>0</v>
      </c>
      <c r="U120" s="46">
        <f t="shared" si="25"/>
        <v>0</v>
      </c>
      <c r="V120" s="41">
        <f>IF(_xlfn.XLOOKUP($A120,tbl_Catalog[sku_id],tbl_Catalog[master_carton_qty])&gt;0,U120/_xlfn.XLOOKUP($A120,tbl_Catalog[sku_id],tbl_Catalog[master_carton_qty]),0)</f>
        <v>0</v>
      </c>
      <c r="W120" s="38">
        <f>V120*_xlfn.XLOOKUP($A120,tbl_Catalog[sku_id],tbl_Catalog[carton_volume_cbm])</f>
        <v>0</v>
      </c>
      <c r="X120" s="4" t="str">
        <f t="shared" si="26"/>
        <v>DEFERRED / NO PO</v>
      </c>
      <c r="Y120" s="4" t="str">
        <f>IF(U120=0,"N/A",IF(AND(MOD(U120,_xlfn.XLOOKUP($A120,tbl_Catalog[sku_id],tbl_Catalog[master_carton_qty]))=0,U120&gt;=_xlfn.XLOOKUP($A120,tbl_Catalog[sku_id],tbl_Catalog[sku_moq_units])),"MOQ OK","CHECK"))</f>
        <v>N/A</v>
      </c>
      <c r="Z120" s="4" t="str">
        <f t="shared" si="27"/>
        <v>N/A</v>
      </c>
      <c r="AA120" s="41">
        <v>0</v>
      </c>
      <c r="AB120" s="41">
        <v>0</v>
      </c>
      <c r="AC120" s="4" t="b">
        <v>0</v>
      </c>
    </row>
    <row r="121" spans="1:29" x14ac:dyDescent="0.3">
      <c r="A121" s="36" t="s">
        <v>542</v>
      </c>
      <c r="B121" s="16" t="s">
        <v>515</v>
      </c>
      <c r="C121" s="4" t="s">
        <v>188</v>
      </c>
      <c r="D121" s="41">
        <v>273</v>
      </c>
      <c r="E121" s="41">
        <v>0</v>
      </c>
      <c r="F121" s="42">
        <f>'03_FBA_Nivel1_Transfer'!E121+D121-E121</f>
        <v>390</v>
      </c>
      <c r="G121" s="39">
        <f>'02_Demand_Unconstraining'!R121</f>
        <v>2.6</v>
      </c>
      <c r="H121" s="30">
        <f>'02_Demand_Unconstraining'!S121</f>
        <v>2.6827000000000001</v>
      </c>
      <c r="I121" s="29">
        <f>_xlfn.XLOOKUP($A121,tbl_Catalog[sku_id],tbl_Catalog[z_score])</f>
        <v>1.282</v>
      </c>
      <c r="J121" s="41">
        <f t="shared" si="21"/>
        <v>45</v>
      </c>
      <c r="K121" s="41">
        <f>'03_FBA_Nivel1_Transfer'!N121</f>
        <v>14</v>
      </c>
      <c r="L121" s="41">
        <f t="shared" si="22"/>
        <v>254</v>
      </c>
      <c r="M121" s="44">
        <f t="shared" si="23"/>
        <v>371</v>
      </c>
      <c r="N121" s="41">
        <f>_xlfn.CEILING.MATH(_xlfn.XLOOKUP($A121,tbl_Catalog[sku_id],tbl_Catalog[sku_moq_units])/_xlfn.XLOOKUP($A121,tbl_Catalog[sku_id],tbl_Catalog[master_carton_qty]),1)</f>
        <v>5</v>
      </c>
      <c r="O121" s="31">
        <f t="shared" si="24"/>
        <v>52.307692307692307</v>
      </c>
      <c r="P121" s="48">
        <f>_xlfn.LET(_xlpm.ip_sys,$F121,_xlpm.rop_sys,$L121,_xlpm.s_max,$M121,_xlpm.m_qty,_xlfn.XLOOKUP($A121,tbl_Catalog[sku_id],tbl_Catalog[master_carton_qty]),_xlpm.moq,_xlfn.XLOOKUP($A121,tbl_Catalog[sku_id],tbl_Catalog[sku_moq_units]),IF(_xlpm.ip_sys&lt;=_xlpm.rop_sys,_xlfn.CEILING.MATH(MAX(_xlpm.s_max-_xlpm.ip_sys,_xlpm.moq),_xlpm.m_qty),0))</f>
        <v>0</v>
      </c>
      <c r="Q121" s="30">
        <f>IF(P121&gt;0,(P121/_xlfn.XLOOKUP($A121,tbl_Catalog[sku_id],tbl_Catalog[master_carton_qty]))*_xlfn.XLOOKUP($A121,tbl_Catalog[sku_id],tbl_Catalog[carton_volume_cbm]),0)</f>
        <v>0</v>
      </c>
      <c r="R121" s="41">
        <v>0</v>
      </c>
      <c r="S121" s="41">
        <v>0</v>
      </c>
      <c r="T121" s="41">
        <f>S121*_xlfn.XLOOKUP($A121,tbl_Catalog[sku_id],tbl_Catalog[master_carton_qty])</f>
        <v>0</v>
      </c>
      <c r="U121" s="46">
        <f t="shared" si="25"/>
        <v>0</v>
      </c>
      <c r="V121" s="41">
        <f>IF(_xlfn.XLOOKUP($A121,tbl_Catalog[sku_id],tbl_Catalog[master_carton_qty])&gt;0,U121/_xlfn.XLOOKUP($A121,tbl_Catalog[sku_id],tbl_Catalog[master_carton_qty]),0)</f>
        <v>0</v>
      </c>
      <c r="W121" s="38">
        <f>V121*_xlfn.XLOOKUP($A121,tbl_Catalog[sku_id],tbl_Catalog[carton_volume_cbm])</f>
        <v>0</v>
      </c>
      <c r="X121" s="4" t="str">
        <f t="shared" si="26"/>
        <v>DEFERRED / NO PO</v>
      </c>
      <c r="Y121" s="4" t="str">
        <f>IF(U121=0,"N/A",IF(AND(MOD(U121,_xlfn.XLOOKUP($A121,tbl_Catalog[sku_id],tbl_Catalog[master_carton_qty]))=0,U121&gt;=_xlfn.XLOOKUP($A121,tbl_Catalog[sku_id],tbl_Catalog[sku_moq_units])),"MOQ OK","CHECK"))</f>
        <v>N/A</v>
      </c>
      <c r="Z121" s="4" t="str">
        <f t="shared" si="27"/>
        <v>N/A</v>
      </c>
      <c r="AA121" s="41">
        <v>0</v>
      </c>
      <c r="AB121" s="41">
        <v>0</v>
      </c>
      <c r="AC121" s="4" t="b">
        <v>0</v>
      </c>
    </row>
    <row r="122" spans="1:29" x14ac:dyDescent="0.3">
      <c r="A122" s="36" t="s">
        <v>545</v>
      </c>
      <c r="B122" s="16" t="s">
        <v>515</v>
      </c>
      <c r="C122" s="4" t="s">
        <v>188</v>
      </c>
      <c r="D122" s="41">
        <v>90</v>
      </c>
      <c r="E122" s="41">
        <v>0</v>
      </c>
      <c r="F122" s="42">
        <f>'03_FBA_Nivel1_Transfer'!E122+D122-E122</f>
        <v>90</v>
      </c>
      <c r="G122" s="39">
        <f>'02_Demand_Unconstraining'!R122</f>
        <v>1.0879000000000001</v>
      </c>
      <c r="H122" s="30">
        <f>'02_Demand_Unconstraining'!S122</f>
        <v>1.2638</v>
      </c>
      <c r="I122" s="29">
        <f>_xlfn.XLOOKUP($A122,tbl_Catalog[sku_id],tbl_Catalog[z_score])</f>
        <v>1.282</v>
      </c>
      <c r="J122" s="41">
        <f t="shared" si="21"/>
        <v>20</v>
      </c>
      <c r="K122" s="41">
        <f>'03_FBA_Nivel1_Transfer'!N122</f>
        <v>7</v>
      </c>
      <c r="L122" s="41">
        <f t="shared" si="22"/>
        <v>109</v>
      </c>
      <c r="M122" s="44">
        <f t="shared" si="23"/>
        <v>158</v>
      </c>
      <c r="N122" s="41">
        <f>_xlfn.CEILING.MATH(_xlfn.XLOOKUP($A122,tbl_Catalog[sku_id],tbl_Catalog[sku_moq_units])/_xlfn.XLOOKUP($A122,tbl_Catalog[sku_id],tbl_Catalog[master_carton_qty]),1)</f>
        <v>5</v>
      </c>
      <c r="O122" s="31">
        <f t="shared" si="24"/>
        <v>-17.464840518430002</v>
      </c>
      <c r="P122" s="48">
        <f>_xlfn.LET(_xlpm.ip_sys,$F122,_xlpm.rop_sys,$L122,_xlpm.s_max,$M122,_xlpm.m_qty,_xlfn.XLOOKUP($A122,tbl_Catalog[sku_id],tbl_Catalog[master_carton_qty]),_xlpm.moq,_xlfn.XLOOKUP($A122,tbl_Catalog[sku_id],tbl_Catalog[sku_moq_units]),IF(_xlpm.ip_sys&lt;=_xlpm.rop_sys,_xlfn.CEILING.MATH(MAX(_xlpm.s_max-_xlpm.ip_sys,_xlpm.moq),_xlpm.m_qty),0))</f>
        <v>500</v>
      </c>
      <c r="Q122" s="30">
        <f>IF(P122&gt;0,(P122/_xlfn.XLOOKUP($A122,tbl_Catalog[sku_id],tbl_Catalog[master_carton_qty]))*_xlfn.XLOOKUP($A122,tbl_Catalog[sku_id],tbl_Catalog[carton_volume_cbm]),0)</f>
        <v>0.15</v>
      </c>
      <c r="R122" s="41">
        <v>0</v>
      </c>
      <c r="S122" s="41">
        <v>0</v>
      </c>
      <c r="T122" s="41">
        <f>S122*_xlfn.XLOOKUP($A122,tbl_Catalog[sku_id],tbl_Catalog[master_carton_qty])</f>
        <v>0</v>
      </c>
      <c r="U122" s="46">
        <f t="shared" si="25"/>
        <v>0</v>
      </c>
      <c r="V122" s="41">
        <f>IF(_xlfn.XLOOKUP($A122,tbl_Catalog[sku_id],tbl_Catalog[master_carton_qty])&gt;0,U122/_xlfn.XLOOKUP($A122,tbl_Catalog[sku_id],tbl_Catalog[master_carton_qty]),0)</f>
        <v>0</v>
      </c>
      <c r="W122" s="38">
        <f>V122*_xlfn.XLOOKUP($A122,tbl_Catalog[sku_id],tbl_Catalog[carton_volume_cbm])</f>
        <v>0</v>
      </c>
      <c r="X122" s="4" t="str">
        <f t="shared" si="26"/>
        <v>DEFERRED / NO PO</v>
      </c>
      <c r="Y122" s="4" t="str">
        <f>IF(U122=0,"N/A",IF(AND(MOD(U122,_xlfn.XLOOKUP($A122,tbl_Catalog[sku_id],tbl_Catalog[master_carton_qty]))=0,U122&gt;=_xlfn.XLOOKUP($A122,tbl_Catalog[sku_id],tbl_Catalog[sku_moq_units])),"MOQ OK","CHECK"))</f>
        <v>N/A</v>
      </c>
      <c r="Z122" s="4" t="str">
        <f t="shared" si="27"/>
        <v>N/A</v>
      </c>
      <c r="AA122" s="41">
        <v>0</v>
      </c>
      <c r="AB122" s="41">
        <v>5</v>
      </c>
      <c r="AC122" s="4" t="b">
        <v>0</v>
      </c>
    </row>
    <row r="123" spans="1:29" x14ac:dyDescent="0.3">
      <c r="A123" s="36" t="s">
        <v>548</v>
      </c>
      <c r="B123" s="16" t="s">
        <v>515</v>
      </c>
      <c r="C123" s="4" t="s">
        <v>188</v>
      </c>
      <c r="D123" s="41">
        <v>483</v>
      </c>
      <c r="E123" s="41">
        <v>0</v>
      </c>
      <c r="F123" s="42">
        <f>'03_FBA_Nivel1_Transfer'!E123+D123-E123</f>
        <v>483</v>
      </c>
      <c r="G123" s="39">
        <f>'02_Demand_Unconstraining'!R123</f>
        <v>1.7842</v>
      </c>
      <c r="H123" s="30">
        <f>'02_Demand_Unconstraining'!S123</f>
        <v>1.6124000000000001</v>
      </c>
      <c r="I123" s="29">
        <f>_xlfn.XLOOKUP($A123,tbl_Catalog[sku_id],tbl_Catalog[z_score])</f>
        <v>1.282</v>
      </c>
      <c r="J123" s="41">
        <f t="shared" si="21"/>
        <v>30</v>
      </c>
      <c r="K123" s="41">
        <f>'03_FBA_Nivel1_Transfer'!N123</f>
        <v>8</v>
      </c>
      <c r="L123" s="41">
        <f t="shared" si="22"/>
        <v>172</v>
      </c>
      <c r="M123" s="44">
        <f t="shared" si="23"/>
        <v>253</v>
      </c>
      <c r="N123" s="41">
        <f>_xlfn.CEILING.MATH(_xlfn.XLOOKUP($A123,tbl_Catalog[sku_id],tbl_Catalog[sku_moq_units])/_xlfn.XLOOKUP($A123,tbl_Catalog[sku_id],tbl_Catalog[master_carton_qty]),1)</f>
        <v>5</v>
      </c>
      <c r="O123" s="31">
        <f t="shared" si="24"/>
        <v>174.30781302544557</v>
      </c>
      <c r="P123" s="48">
        <f>_xlfn.LET(_xlpm.ip_sys,$F123,_xlpm.rop_sys,$L123,_xlpm.s_max,$M123,_xlpm.m_qty,_xlfn.XLOOKUP($A123,tbl_Catalog[sku_id],tbl_Catalog[master_carton_qty]),_xlpm.moq,_xlfn.XLOOKUP($A123,tbl_Catalog[sku_id],tbl_Catalog[sku_moq_units]),IF(_xlpm.ip_sys&lt;=_xlpm.rop_sys,_xlfn.CEILING.MATH(MAX(_xlpm.s_max-_xlpm.ip_sys,_xlpm.moq),_xlpm.m_qty),0))</f>
        <v>0</v>
      </c>
      <c r="Q123" s="30">
        <f>IF(P123&gt;0,(P123/_xlfn.XLOOKUP($A123,tbl_Catalog[sku_id],tbl_Catalog[master_carton_qty]))*_xlfn.XLOOKUP($A123,tbl_Catalog[sku_id],tbl_Catalog[carton_volume_cbm]),0)</f>
        <v>0</v>
      </c>
      <c r="R123" s="41">
        <v>0</v>
      </c>
      <c r="S123" s="41">
        <v>0</v>
      </c>
      <c r="T123" s="41">
        <f>S123*_xlfn.XLOOKUP($A123,tbl_Catalog[sku_id],tbl_Catalog[master_carton_qty])</f>
        <v>0</v>
      </c>
      <c r="U123" s="46">
        <f t="shared" si="25"/>
        <v>0</v>
      </c>
      <c r="V123" s="41">
        <f>IF(_xlfn.XLOOKUP($A123,tbl_Catalog[sku_id],tbl_Catalog[master_carton_qty])&gt;0,U123/_xlfn.XLOOKUP($A123,tbl_Catalog[sku_id],tbl_Catalog[master_carton_qty]),0)</f>
        <v>0</v>
      </c>
      <c r="W123" s="38">
        <f>V123*_xlfn.XLOOKUP($A123,tbl_Catalog[sku_id],tbl_Catalog[carton_volume_cbm])</f>
        <v>0</v>
      </c>
      <c r="X123" s="4" t="str">
        <f t="shared" si="26"/>
        <v>DEFERRED / NO PO</v>
      </c>
      <c r="Y123" s="4" t="str">
        <f>IF(U123=0,"N/A",IF(AND(MOD(U123,_xlfn.XLOOKUP($A123,tbl_Catalog[sku_id],tbl_Catalog[master_carton_qty]))=0,U123&gt;=_xlfn.XLOOKUP($A123,tbl_Catalog[sku_id],tbl_Catalog[sku_moq_units])),"MOQ OK","CHECK"))</f>
        <v>N/A</v>
      </c>
      <c r="Z123" s="4" t="str">
        <f t="shared" si="27"/>
        <v>N/A</v>
      </c>
      <c r="AA123" s="41">
        <v>0</v>
      </c>
      <c r="AB123" s="41">
        <v>0</v>
      </c>
      <c r="AC123" s="4" t="b">
        <v>0</v>
      </c>
    </row>
    <row r="124" spans="1:29" x14ac:dyDescent="0.3">
      <c r="A124" s="36" t="s">
        <v>551</v>
      </c>
      <c r="B124" s="16" t="s">
        <v>515</v>
      </c>
      <c r="C124" s="4" t="s">
        <v>188</v>
      </c>
      <c r="D124" s="41">
        <v>189</v>
      </c>
      <c r="E124" s="41">
        <v>0</v>
      </c>
      <c r="F124" s="42">
        <f>'03_FBA_Nivel1_Transfer'!E124+D124-E124</f>
        <v>189</v>
      </c>
      <c r="G124" s="39">
        <f>'02_Demand_Unconstraining'!R124</f>
        <v>0.75890000000000002</v>
      </c>
      <c r="H124" s="30">
        <f>'02_Demand_Unconstraining'!S124</f>
        <v>0.4647</v>
      </c>
      <c r="I124" s="29">
        <f>_xlfn.XLOOKUP($A124,tbl_Catalog[sku_id],tbl_Catalog[z_score])</f>
        <v>1.282</v>
      </c>
      <c r="J124" s="41">
        <f t="shared" si="21"/>
        <v>12</v>
      </c>
      <c r="K124" s="41">
        <f>'03_FBA_Nivel1_Transfer'!N124</f>
        <v>3</v>
      </c>
      <c r="L124" s="41">
        <f t="shared" si="22"/>
        <v>72</v>
      </c>
      <c r="M124" s="44">
        <f t="shared" si="23"/>
        <v>107</v>
      </c>
      <c r="N124" s="41">
        <f>_xlfn.CEILING.MATH(_xlfn.XLOOKUP($A124,tbl_Catalog[sku_id],tbl_Catalog[sku_moq_units])/_xlfn.XLOOKUP($A124,tbl_Catalog[sku_id],tbl_Catalog[master_carton_qty]),1)</f>
        <v>5</v>
      </c>
      <c r="O124" s="31">
        <f t="shared" si="24"/>
        <v>154.17050994860983</v>
      </c>
      <c r="P124" s="48">
        <f>_xlfn.LET(_xlpm.ip_sys,$F124,_xlpm.rop_sys,$L124,_xlpm.s_max,$M124,_xlpm.m_qty,_xlfn.XLOOKUP($A124,tbl_Catalog[sku_id],tbl_Catalog[master_carton_qty]),_xlpm.moq,_xlfn.XLOOKUP($A124,tbl_Catalog[sku_id],tbl_Catalog[sku_moq_units]),IF(_xlpm.ip_sys&lt;=_xlpm.rop_sys,_xlfn.CEILING.MATH(MAX(_xlpm.s_max-_xlpm.ip_sys,_xlpm.moq),_xlpm.m_qty),0))</f>
        <v>0</v>
      </c>
      <c r="Q124" s="30">
        <f>IF(P124&gt;0,(P124/_xlfn.XLOOKUP($A124,tbl_Catalog[sku_id],tbl_Catalog[master_carton_qty]))*_xlfn.XLOOKUP($A124,tbl_Catalog[sku_id],tbl_Catalog[carton_volume_cbm]),0)</f>
        <v>0</v>
      </c>
      <c r="R124" s="41">
        <v>0</v>
      </c>
      <c r="S124" s="41">
        <v>0</v>
      </c>
      <c r="T124" s="41">
        <f>S124*_xlfn.XLOOKUP($A124,tbl_Catalog[sku_id],tbl_Catalog[master_carton_qty])</f>
        <v>0</v>
      </c>
      <c r="U124" s="46">
        <f t="shared" si="25"/>
        <v>0</v>
      </c>
      <c r="V124" s="41">
        <f>IF(_xlfn.XLOOKUP($A124,tbl_Catalog[sku_id],tbl_Catalog[master_carton_qty])&gt;0,U124/_xlfn.XLOOKUP($A124,tbl_Catalog[sku_id],tbl_Catalog[master_carton_qty]),0)</f>
        <v>0</v>
      </c>
      <c r="W124" s="38">
        <f>V124*_xlfn.XLOOKUP($A124,tbl_Catalog[sku_id],tbl_Catalog[carton_volume_cbm])</f>
        <v>0</v>
      </c>
      <c r="X124" s="4" t="str">
        <f t="shared" si="26"/>
        <v>DEFERRED / NO PO</v>
      </c>
      <c r="Y124" s="4" t="str">
        <f>IF(U124=0,"N/A",IF(AND(MOD(U124,_xlfn.XLOOKUP($A124,tbl_Catalog[sku_id],tbl_Catalog[master_carton_qty]))=0,U124&gt;=_xlfn.XLOOKUP($A124,tbl_Catalog[sku_id],tbl_Catalog[sku_moq_units])),"MOQ OK","CHECK"))</f>
        <v>N/A</v>
      </c>
      <c r="Z124" s="4" t="str">
        <f t="shared" si="27"/>
        <v>N/A</v>
      </c>
      <c r="AA124" s="41">
        <v>0</v>
      </c>
      <c r="AB124" s="41">
        <v>0</v>
      </c>
      <c r="AC124" s="4" t="b">
        <v>0</v>
      </c>
    </row>
    <row r="125" spans="1:29" x14ac:dyDescent="0.3">
      <c r="A125" s="36" t="s">
        <v>554</v>
      </c>
      <c r="B125" s="16" t="s">
        <v>515</v>
      </c>
      <c r="C125" s="4" t="s">
        <v>184</v>
      </c>
      <c r="D125" s="41">
        <v>33</v>
      </c>
      <c r="E125" s="41">
        <v>0</v>
      </c>
      <c r="F125" s="42">
        <f>'03_FBA_Nivel1_Transfer'!E125+D125-E125</f>
        <v>266</v>
      </c>
      <c r="G125" s="39">
        <f>'02_Demand_Unconstraining'!R125</f>
        <v>7.5667</v>
      </c>
      <c r="H125" s="30">
        <f>'02_Demand_Unconstraining'!S125</f>
        <v>2.7105000000000001</v>
      </c>
      <c r="I125" s="29">
        <f>_xlfn.XLOOKUP($A125,tbl_Catalog[sku_id],tbl_Catalog[z_score])</f>
        <v>1.645</v>
      </c>
      <c r="J125" s="41">
        <f t="shared" si="21"/>
        <v>131</v>
      </c>
      <c r="K125" s="41">
        <f>'03_FBA_Nivel1_Transfer'!N125</f>
        <v>141</v>
      </c>
      <c r="L125" s="41">
        <f t="shared" si="22"/>
        <v>840</v>
      </c>
      <c r="M125" s="44">
        <f t="shared" si="23"/>
        <v>1181</v>
      </c>
      <c r="N125" s="41">
        <f>_xlfn.CEILING.MATH(_xlfn.XLOOKUP($A125,tbl_Catalog[sku_id],tbl_Catalog[sku_moq_units])/_xlfn.XLOOKUP($A125,tbl_Catalog[sku_id],tbl_Catalog[master_carton_qty]),1)</f>
        <v>5</v>
      </c>
      <c r="O125" s="31">
        <f t="shared" si="24"/>
        <v>-75.858696657723982</v>
      </c>
      <c r="P125" s="48">
        <f>_xlfn.LET(_xlpm.ip_sys,$F125,_xlpm.rop_sys,$L125,_xlpm.s_max,$M125,_xlpm.m_qty,_xlfn.XLOOKUP($A125,tbl_Catalog[sku_id],tbl_Catalog[master_carton_qty]),_xlpm.moq,_xlfn.XLOOKUP($A125,tbl_Catalog[sku_id],tbl_Catalog[sku_moq_units]),IF(_xlpm.ip_sys&lt;=_xlpm.rop_sys,_xlfn.CEILING.MATH(MAX(_xlpm.s_max-_xlpm.ip_sys,_xlpm.moq),_xlpm.m_qty),0))</f>
        <v>1000</v>
      </c>
      <c r="Q125" s="30">
        <f>IF(P125&gt;0,(P125/_xlfn.XLOOKUP($A125,tbl_Catalog[sku_id],tbl_Catalog[master_carton_qty]))*_xlfn.XLOOKUP($A125,tbl_Catalog[sku_id],tbl_Catalog[carton_volume_cbm]),0)</f>
        <v>0.3</v>
      </c>
      <c r="R125" s="41">
        <v>0</v>
      </c>
      <c r="S125" s="41">
        <v>0</v>
      </c>
      <c r="T125" s="41">
        <f>S125*_xlfn.XLOOKUP($A125,tbl_Catalog[sku_id],tbl_Catalog[master_carton_qty])</f>
        <v>0</v>
      </c>
      <c r="U125" s="46">
        <f t="shared" si="25"/>
        <v>0</v>
      </c>
      <c r="V125" s="41">
        <f>IF(_xlfn.XLOOKUP($A125,tbl_Catalog[sku_id],tbl_Catalog[master_carton_qty])&gt;0,U125/_xlfn.XLOOKUP($A125,tbl_Catalog[sku_id],tbl_Catalog[master_carton_qty]),0)</f>
        <v>0</v>
      </c>
      <c r="W125" s="38">
        <f>V125*_xlfn.XLOOKUP($A125,tbl_Catalog[sku_id],tbl_Catalog[carton_volume_cbm])</f>
        <v>0</v>
      </c>
      <c r="X125" s="4" t="str">
        <f t="shared" si="26"/>
        <v>DEFERRED / NO PO</v>
      </c>
      <c r="Y125" s="4" t="str">
        <f>IF(U125=0,"N/A",IF(AND(MOD(U125,_xlfn.XLOOKUP($A125,tbl_Catalog[sku_id],tbl_Catalog[master_carton_qty]))=0,U125&gt;=_xlfn.XLOOKUP($A125,tbl_Catalog[sku_id],tbl_Catalog[sku_moq_units])),"MOQ OK","CHECK"))</f>
        <v>N/A</v>
      </c>
      <c r="Z125" s="4" t="str">
        <f t="shared" si="27"/>
        <v>N/A</v>
      </c>
      <c r="AA125" s="41">
        <v>500</v>
      </c>
      <c r="AB125" s="41">
        <v>7</v>
      </c>
      <c r="AC125" s="4" t="b">
        <v>0</v>
      </c>
    </row>
    <row r="126" spans="1:29" x14ac:dyDescent="0.3">
      <c r="A126" s="36" t="s">
        <v>558</v>
      </c>
      <c r="B126" s="16" t="s">
        <v>515</v>
      </c>
      <c r="C126" s="4" t="s">
        <v>179</v>
      </c>
      <c r="D126" s="41">
        <v>0</v>
      </c>
      <c r="E126" s="41">
        <v>0</v>
      </c>
      <c r="F126" s="42">
        <f>'03_FBA_Nivel1_Transfer'!E126+D126-E126</f>
        <v>89</v>
      </c>
      <c r="G126" s="39">
        <f>'02_Demand_Unconstraining'!R126</f>
        <v>7.9036999999999997</v>
      </c>
      <c r="H126" s="30">
        <f>'02_Demand_Unconstraining'!S126</f>
        <v>4.3564999999999996</v>
      </c>
      <c r="I126" s="29">
        <f>_xlfn.XLOOKUP($A126,tbl_Catalog[sku_id],tbl_Catalog[z_score])</f>
        <v>1.645</v>
      </c>
      <c r="J126" s="41">
        <f t="shared" si="21"/>
        <v>145</v>
      </c>
      <c r="K126" s="41">
        <f>'03_FBA_Nivel1_Transfer'!N126</f>
        <v>198</v>
      </c>
      <c r="L126" s="41">
        <f t="shared" si="22"/>
        <v>936</v>
      </c>
      <c r="M126" s="44">
        <f t="shared" si="23"/>
        <v>1292</v>
      </c>
      <c r="N126" s="41">
        <f>_xlfn.CEILING.MATH(_xlfn.XLOOKUP($A126,tbl_Catalog[sku_id],tbl_Catalog[sku_moq_units])/_xlfn.XLOOKUP($A126,tbl_Catalog[sku_id],tbl_Catalog[master_carton_qty]),1)</f>
        <v>5</v>
      </c>
      <c r="O126" s="31">
        <f t="shared" si="24"/>
        <v>-107.16499867150829</v>
      </c>
      <c r="P126" s="48">
        <f>_xlfn.LET(_xlpm.ip_sys,$F126,_xlpm.rop_sys,$L126,_xlpm.s_max,$M126,_xlpm.m_qty,_xlfn.XLOOKUP($A126,tbl_Catalog[sku_id],tbl_Catalog[master_carton_qty]),_xlpm.moq,_xlfn.XLOOKUP($A126,tbl_Catalog[sku_id],tbl_Catalog[sku_moq_units]),IF(_xlpm.ip_sys&lt;=_xlpm.rop_sys,_xlfn.CEILING.MATH(MAX(_xlpm.s_max-_xlpm.ip_sys,_xlpm.moq),_xlpm.m_qty),0))</f>
        <v>1300</v>
      </c>
      <c r="Q126" s="30">
        <f>IF(P126&gt;0,(P126/_xlfn.XLOOKUP($A126,tbl_Catalog[sku_id],tbl_Catalog[master_carton_qty]))*_xlfn.XLOOKUP($A126,tbl_Catalog[sku_id],tbl_Catalog[carton_volume_cbm]),0)</f>
        <v>0.39</v>
      </c>
      <c r="R126" s="41">
        <v>900</v>
      </c>
      <c r="S126" s="41">
        <v>0</v>
      </c>
      <c r="T126" s="41">
        <f>S126*_xlfn.XLOOKUP($A126,tbl_Catalog[sku_id],tbl_Catalog[master_carton_qty])</f>
        <v>0</v>
      </c>
      <c r="U126" s="46">
        <f t="shared" si="25"/>
        <v>900</v>
      </c>
      <c r="V126" s="41">
        <f>IF(_xlfn.XLOOKUP($A126,tbl_Catalog[sku_id],tbl_Catalog[master_carton_qty])&gt;0,U126/_xlfn.XLOOKUP($A126,tbl_Catalog[sku_id],tbl_Catalog[master_carton_qty]),0)</f>
        <v>9</v>
      </c>
      <c r="W126" s="38">
        <f>V126*_xlfn.XLOOKUP($A126,tbl_Catalog[sku_id],tbl_Catalog[carton_volume_cbm])</f>
        <v>0.27</v>
      </c>
      <c r="X126" s="4" t="str">
        <f t="shared" si="26"/>
        <v>BASE LOAD</v>
      </c>
      <c r="Y126" s="4" t="str">
        <f>IF(U126=0,"N/A",IF(AND(MOD(U126,_xlfn.XLOOKUP($A126,tbl_Catalog[sku_id],tbl_Catalog[master_carton_qty]))=0,U126&gt;=_xlfn.XLOOKUP($A126,tbl_Catalog[sku_id],tbl_Catalog[sku_moq_units])),"MOQ OK","CHECK"))</f>
        <v>MOQ OK</v>
      </c>
      <c r="Z126" s="4" t="str">
        <f t="shared" si="27"/>
        <v>DOS OK</v>
      </c>
      <c r="AA126" s="41">
        <v>500</v>
      </c>
      <c r="AB126" s="41">
        <v>0</v>
      </c>
      <c r="AC126" s="4" t="b">
        <v>0</v>
      </c>
    </row>
    <row r="127" spans="1:29" x14ac:dyDescent="0.3">
      <c r="A127" s="36" t="s">
        <v>561</v>
      </c>
      <c r="B127" s="16" t="s">
        <v>515</v>
      </c>
      <c r="C127" s="4" t="s">
        <v>179</v>
      </c>
      <c r="D127" s="41">
        <v>152</v>
      </c>
      <c r="E127" s="41">
        <v>0</v>
      </c>
      <c r="F127" s="42">
        <f>'03_FBA_Nivel1_Transfer'!E127+D127-E127</f>
        <v>401</v>
      </c>
      <c r="G127" s="39">
        <f>'02_Demand_Unconstraining'!R127</f>
        <v>5.4667000000000003</v>
      </c>
      <c r="H127" s="30">
        <f>'02_Demand_Unconstraining'!S127</f>
        <v>2.8454999999999999</v>
      </c>
      <c r="I127" s="29">
        <f>_xlfn.XLOOKUP($A127,tbl_Catalog[sku_id],tbl_Catalog[z_score])</f>
        <v>1.645</v>
      </c>
      <c r="J127" s="41">
        <f t="shared" si="21"/>
        <v>99</v>
      </c>
      <c r="K127" s="41">
        <f>'03_FBA_Nivel1_Transfer'!N127</f>
        <v>26</v>
      </c>
      <c r="L127" s="41">
        <f t="shared" si="22"/>
        <v>536</v>
      </c>
      <c r="M127" s="44">
        <f t="shared" si="23"/>
        <v>782</v>
      </c>
      <c r="N127" s="41">
        <f>_xlfn.CEILING.MATH(_xlfn.XLOOKUP($A127,tbl_Catalog[sku_id],tbl_Catalog[sku_moq_units])/_xlfn.XLOOKUP($A127,tbl_Catalog[sku_id],tbl_Catalog[master_carton_qty]),1)</f>
        <v>5</v>
      </c>
      <c r="O127" s="31">
        <f t="shared" si="24"/>
        <v>-24.694971372125778</v>
      </c>
      <c r="P127" s="48">
        <f>_xlfn.LET(_xlpm.ip_sys,$F127,_xlpm.rop_sys,$L127,_xlpm.s_max,$M127,_xlpm.m_qty,_xlfn.XLOOKUP($A127,tbl_Catalog[sku_id],tbl_Catalog[master_carton_qty]),_xlpm.moq,_xlfn.XLOOKUP($A127,tbl_Catalog[sku_id],tbl_Catalog[sku_moq_units]),IF(_xlpm.ip_sys&lt;=_xlpm.rop_sys,_xlfn.CEILING.MATH(MAX(_xlpm.s_max-_xlpm.ip_sys,_xlpm.moq),_xlpm.m_qty),0))</f>
        <v>500</v>
      </c>
      <c r="Q127" s="30">
        <f>IF(P127&gt;0,(P127/_xlfn.XLOOKUP($A127,tbl_Catalog[sku_id],tbl_Catalog[master_carton_qty]))*_xlfn.XLOOKUP($A127,tbl_Catalog[sku_id],tbl_Catalog[carton_volume_cbm]),0)</f>
        <v>0.15</v>
      </c>
      <c r="R127" s="41">
        <v>0</v>
      </c>
      <c r="S127" s="41">
        <v>0</v>
      </c>
      <c r="T127" s="41">
        <f>S127*_xlfn.XLOOKUP($A127,tbl_Catalog[sku_id],tbl_Catalog[master_carton_qty])</f>
        <v>0</v>
      </c>
      <c r="U127" s="46">
        <f t="shared" si="25"/>
        <v>0</v>
      </c>
      <c r="V127" s="41">
        <f>IF(_xlfn.XLOOKUP($A127,tbl_Catalog[sku_id],tbl_Catalog[master_carton_qty])&gt;0,U127/_xlfn.XLOOKUP($A127,tbl_Catalog[sku_id],tbl_Catalog[master_carton_qty]),0)</f>
        <v>0</v>
      </c>
      <c r="W127" s="38">
        <f>V127*_xlfn.XLOOKUP($A127,tbl_Catalog[sku_id],tbl_Catalog[carton_volume_cbm])</f>
        <v>0</v>
      </c>
      <c r="X127" s="4" t="str">
        <f t="shared" si="26"/>
        <v>DEFERRED / NO PO</v>
      </c>
      <c r="Y127" s="4" t="str">
        <f>IF(U127=0,"N/A",IF(AND(MOD(U127,_xlfn.XLOOKUP($A127,tbl_Catalog[sku_id],tbl_Catalog[master_carton_qty]))=0,U127&gt;=_xlfn.XLOOKUP($A127,tbl_Catalog[sku_id],tbl_Catalog[sku_moq_units])),"MOQ OK","CHECK"))</f>
        <v>N/A</v>
      </c>
      <c r="Z127" s="4" t="str">
        <f t="shared" si="27"/>
        <v>N/A</v>
      </c>
      <c r="AA127" s="41">
        <v>500</v>
      </c>
      <c r="AB127" s="41">
        <v>5</v>
      </c>
      <c r="AC127" s="4" t="b">
        <v>0</v>
      </c>
    </row>
    <row r="128" spans="1:29" x14ac:dyDescent="0.3">
      <c r="A128" s="36" t="s">
        <v>564</v>
      </c>
      <c r="B128" s="16" t="s">
        <v>515</v>
      </c>
      <c r="C128" s="4" t="s">
        <v>188</v>
      </c>
      <c r="D128" s="41">
        <v>227</v>
      </c>
      <c r="E128" s="41">
        <v>0</v>
      </c>
      <c r="F128" s="42">
        <f>'03_FBA_Nivel1_Transfer'!E128+D128-E128</f>
        <v>310</v>
      </c>
      <c r="G128" s="39">
        <f>'02_Demand_Unconstraining'!R128</f>
        <v>2.3666</v>
      </c>
      <c r="H128" s="30">
        <f>'02_Demand_Unconstraining'!S128</f>
        <v>2.3559999999999999</v>
      </c>
      <c r="I128" s="29">
        <f>_xlfn.XLOOKUP($A128,tbl_Catalog[sku_id],tbl_Catalog[z_score])</f>
        <v>1.282</v>
      </c>
      <c r="J128" s="41">
        <f t="shared" si="21"/>
        <v>41</v>
      </c>
      <c r="K128" s="41">
        <f>'03_FBA_Nivel1_Transfer'!N128</f>
        <v>12</v>
      </c>
      <c r="L128" s="41">
        <f t="shared" si="22"/>
        <v>231</v>
      </c>
      <c r="M128" s="44">
        <f t="shared" si="23"/>
        <v>337</v>
      </c>
      <c r="N128" s="41">
        <f>_xlfn.CEILING.MATH(_xlfn.XLOOKUP($A128,tbl_Catalog[sku_id],tbl_Catalog[sku_moq_units])/_xlfn.XLOOKUP($A128,tbl_Catalog[sku_id],tbl_Catalog[master_carton_qty]),1)</f>
        <v>5</v>
      </c>
      <c r="O128" s="31">
        <f t="shared" si="24"/>
        <v>33.381222006253694</v>
      </c>
      <c r="P128" s="48">
        <f>_xlfn.LET(_xlpm.ip_sys,$F128,_xlpm.rop_sys,$L128,_xlpm.s_max,$M128,_xlpm.m_qty,_xlfn.XLOOKUP($A128,tbl_Catalog[sku_id],tbl_Catalog[master_carton_qty]),_xlpm.moq,_xlfn.XLOOKUP($A128,tbl_Catalog[sku_id],tbl_Catalog[sku_moq_units]),IF(_xlpm.ip_sys&lt;=_xlpm.rop_sys,_xlfn.CEILING.MATH(MAX(_xlpm.s_max-_xlpm.ip_sys,_xlpm.moq),_xlpm.m_qty),0))</f>
        <v>0</v>
      </c>
      <c r="Q128" s="30">
        <f>IF(P128&gt;0,(P128/_xlfn.XLOOKUP($A128,tbl_Catalog[sku_id],tbl_Catalog[master_carton_qty]))*_xlfn.XLOOKUP($A128,tbl_Catalog[sku_id],tbl_Catalog[carton_volume_cbm]),0)</f>
        <v>0</v>
      </c>
      <c r="R128" s="41">
        <v>0</v>
      </c>
      <c r="S128" s="41">
        <v>0</v>
      </c>
      <c r="T128" s="41">
        <f>S128*_xlfn.XLOOKUP($A128,tbl_Catalog[sku_id],tbl_Catalog[master_carton_qty])</f>
        <v>0</v>
      </c>
      <c r="U128" s="46">
        <f t="shared" si="25"/>
        <v>0</v>
      </c>
      <c r="V128" s="41">
        <f>IF(_xlfn.XLOOKUP($A128,tbl_Catalog[sku_id],tbl_Catalog[master_carton_qty])&gt;0,U128/_xlfn.XLOOKUP($A128,tbl_Catalog[sku_id],tbl_Catalog[master_carton_qty]),0)</f>
        <v>0</v>
      </c>
      <c r="W128" s="38">
        <f>V128*_xlfn.XLOOKUP($A128,tbl_Catalog[sku_id],tbl_Catalog[carton_volume_cbm])</f>
        <v>0</v>
      </c>
      <c r="X128" s="4" t="str">
        <f t="shared" si="26"/>
        <v>DEFERRED / NO PO</v>
      </c>
      <c r="Y128" s="4" t="str">
        <f>IF(U128=0,"N/A",IF(AND(MOD(U128,_xlfn.XLOOKUP($A128,tbl_Catalog[sku_id],tbl_Catalog[master_carton_qty]))=0,U128&gt;=_xlfn.XLOOKUP($A128,tbl_Catalog[sku_id],tbl_Catalog[sku_moq_units])),"MOQ OK","CHECK"))</f>
        <v>N/A</v>
      </c>
      <c r="Z128" s="4" t="str">
        <f t="shared" si="27"/>
        <v>N/A</v>
      </c>
      <c r="AA128" s="41">
        <v>0</v>
      </c>
      <c r="AB128" s="41">
        <v>0</v>
      </c>
      <c r="AC128" s="4" t="b">
        <v>0</v>
      </c>
    </row>
    <row r="129" spans="1:29" x14ac:dyDescent="0.3">
      <c r="A129" s="36" t="s">
        <v>567</v>
      </c>
      <c r="B129" s="16" t="s">
        <v>515</v>
      </c>
      <c r="C129" s="4" t="s">
        <v>188</v>
      </c>
      <c r="D129" s="41">
        <v>256</v>
      </c>
      <c r="E129" s="41">
        <v>0</v>
      </c>
      <c r="F129" s="42">
        <f>'03_FBA_Nivel1_Transfer'!E129+D129-E129</f>
        <v>349</v>
      </c>
      <c r="G129" s="39">
        <f>'02_Demand_Unconstraining'!R129</f>
        <v>2.3666999999999998</v>
      </c>
      <c r="H129" s="30">
        <f>'02_Demand_Unconstraining'!S129</f>
        <v>2.1568999999999998</v>
      </c>
      <c r="I129" s="29">
        <f>_xlfn.XLOOKUP($A129,tbl_Catalog[sku_id],tbl_Catalog[z_score])</f>
        <v>1.282</v>
      </c>
      <c r="J129" s="41">
        <f t="shared" si="21"/>
        <v>39</v>
      </c>
      <c r="K129" s="41">
        <f>'03_FBA_Nivel1_Transfer'!N129</f>
        <v>10</v>
      </c>
      <c r="L129" s="41">
        <f t="shared" si="22"/>
        <v>227</v>
      </c>
      <c r="M129" s="44">
        <f t="shared" si="23"/>
        <v>334</v>
      </c>
      <c r="N129" s="41">
        <f>_xlfn.CEILING.MATH(_xlfn.XLOOKUP($A129,tbl_Catalog[sku_id],tbl_Catalog[sku_moq_units])/_xlfn.XLOOKUP($A129,tbl_Catalog[sku_id],tbl_Catalog[master_carton_qty]),1)</f>
        <v>5</v>
      </c>
      <c r="O129" s="31">
        <f t="shared" si="24"/>
        <v>51.54856973845439</v>
      </c>
      <c r="P129" s="48">
        <f>_xlfn.LET(_xlpm.ip_sys,$F129,_xlpm.rop_sys,$L129,_xlpm.s_max,$M129,_xlpm.m_qty,_xlfn.XLOOKUP($A129,tbl_Catalog[sku_id],tbl_Catalog[master_carton_qty]),_xlpm.moq,_xlfn.XLOOKUP($A129,tbl_Catalog[sku_id],tbl_Catalog[sku_moq_units]),IF(_xlpm.ip_sys&lt;=_xlpm.rop_sys,_xlfn.CEILING.MATH(MAX(_xlpm.s_max-_xlpm.ip_sys,_xlpm.moq),_xlpm.m_qty),0))</f>
        <v>0</v>
      </c>
      <c r="Q129" s="30">
        <f>IF(P129&gt;0,(P129/_xlfn.XLOOKUP($A129,tbl_Catalog[sku_id],tbl_Catalog[master_carton_qty]))*_xlfn.XLOOKUP($A129,tbl_Catalog[sku_id],tbl_Catalog[carton_volume_cbm]),0)</f>
        <v>0</v>
      </c>
      <c r="R129" s="41">
        <v>0</v>
      </c>
      <c r="S129" s="41">
        <v>0</v>
      </c>
      <c r="T129" s="41">
        <f>S129*_xlfn.XLOOKUP($A129,tbl_Catalog[sku_id],tbl_Catalog[master_carton_qty])</f>
        <v>0</v>
      </c>
      <c r="U129" s="46">
        <f t="shared" si="25"/>
        <v>0</v>
      </c>
      <c r="V129" s="41">
        <f>IF(_xlfn.XLOOKUP($A129,tbl_Catalog[sku_id],tbl_Catalog[master_carton_qty])&gt;0,U129/_xlfn.XLOOKUP($A129,tbl_Catalog[sku_id],tbl_Catalog[master_carton_qty]),0)</f>
        <v>0</v>
      </c>
      <c r="W129" s="38">
        <f>V129*_xlfn.XLOOKUP($A129,tbl_Catalog[sku_id],tbl_Catalog[carton_volume_cbm])</f>
        <v>0</v>
      </c>
      <c r="X129" s="4" t="str">
        <f t="shared" si="26"/>
        <v>DEFERRED / NO PO</v>
      </c>
      <c r="Y129" s="4" t="str">
        <f>IF(U129=0,"N/A",IF(AND(MOD(U129,_xlfn.XLOOKUP($A129,tbl_Catalog[sku_id],tbl_Catalog[master_carton_qty]))=0,U129&gt;=_xlfn.XLOOKUP($A129,tbl_Catalog[sku_id],tbl_Catalog[sku_moq_units])),"MOQ OK","CHECK"))</f>
        <v>N/A</v>
      </c>
      <c r="Z129" s="4" t="str">
        <f t="shared" si="27"/>
        <v>N/A</v>
      </c>
      <c r="AA129" s="41">
        <v>0</v>
      </c>
      <c r="AB129" s="41">
        <v>0</v>
      </c>
      <c r="AC129" s="4" t="b">
        <v>0</v>
      </c>
    </row>
    <row r="130" spans="1:29" x14ac:dyDescent="0.3">
      <c r="A130" s="36" t="s">
        <v>570</v>
      </c>
      <c r="B130" s="16" t="s">
        <v>515</v>
      </c>
      <c r="C130" s="4" t="s">
        <v>188</v>
      </c>
      <c r="D130" s="41">
        <v>395</v>
      </c>
      <c r="E130" s="41">
        <v>0</v>
      </c>
      <c r="F130" s="42">
        <f>'03_FBA_Nivel1_Transfer'!E130+D130-E130</f>
        <v>495</v>
      </c>
      <c r="G130" s="39">
        <f>'02_Demand_Unconstraining'!R130</f>
        <v>0.98729999999999996</v>
      </c>
      <c r="H130" s="30">
        <f>'02_Demand_Unconstraining'!S130</f>
        <v>0.99270000000000003</v>
      </c>
      <c r="I130" s="29">
        <f>_xlfn.XLOOKUP($A130,tbl_Catalog[sku_id],tbl_Catalog[z_score])</f>
        <v>1.282</v>
      </c>
      <c r="J130" s="41">
        <f t="shared" si="21"/>
        <v>17</v>
      </c>
      <c r="K130" s="41">
        <f>'03_FBA_Nivel1_Transfer'!N130</f>
        <v>6</v>
      </c>
      <c r="L130" s="41">
        <f t="shared" si="22"/>
        <v>98</v>
      </c>
      <c r="M130" s="44">
        <f t="shared" si="23"/>
        <v>142</v>
      </c>
      <c r="N130" s="41">
        <f>_xlfn.CEILING.MATH(_xlfn.XLOOKUP($A130,tbl_Catalog[sku_id],tbl_Catalog[sku_moq_units])/_xlfn.XLOOKUP($A130,tbl_Catalog[sku_id],tbl_Catalog[master_carton_qty]),1)</f>
        <v>5</v>
      </c>
      <c r="O130" s="31">
        <f t="shared" si="24"/>
        <v>402.10675579864278</v>
      </c>
      <c r="P130" s="48">
        <f>_xlfn.LET(_xlpm.ip_sys,$F130,_xlpm.rop_sys,$L130,_xlpm.s_max,$M130,_xlpm.m_qty,_xlfn.XLOOKUP($A130,tbl_Catalog[sku_id],tbl_Catalog[master_carton_qty]),_xlpm.moq,_xlfn.XLOOKUP($A130,tbl_Catalog[sku_id],tbl_Catalog[sku_moq_units]),IF(_xlpm.ip_sys&lt;=_xlpm.rop_sys,_xlfn.CEILING.MATH(MAX(_xlpm.s_max-_xlpm.ip_sys,_xlpm.moq),_xlpm.m_qty),0))</f>
        <v>0</v>
      </c>
      <c r="Q130" s="30">
        <f>IF(P130&gt;0,(P130/_xlfn.XLOOKUP($A130,tbl_Catalog[sku_id],tbl_Catalog[master_carton_qty]))*_xlfn.XLOOKUP($A130,tbl_Catalog[sku_id],tbl_Catalog[carton_volume_cbm]),0)</f>
        <v>0</v>
      </c>
      <c r="R130" s="41">
        <v>0</v>
      </c>
      <c r="S130" s="41">
        <v>0</v>
      </c>
      <c r="T130" s="41">
        <f>S130*_xlfn.XLOOKUP($A130,tbl_Catalog[sku_id],tbl_Catalog[master_carton_qty])</f>
        <v>0</v>
      </c>
      <c r="U130" s="46">
        <f t="shared" si="25"/>
        <v>0</v>
      </c>
      <c r="V130" s="41">
        <f>IF(_xlfn.XLOOKUP($A130,tbl_Catalog[sku_id],tbl_Catalog[master_carton_qty])&gt;0,U130/_xlfn.XLOOKUP($A130,tbl_Catalog[sku_id],tbl_Catalog[master_carton_qty]),0)</f>
        <v>0</v>
      </c>
      <c r="W130" s="38">
        <f>V130*_xlfn.XLOOKUP($A130,tbl_Catalog[sku_id],tbl_Catalog[carton_volume_cbm])</f>
        <v>0</v>
      </c>
      <c r="X130" s="4" t="str">
        <f t="shared" si="26"/>
        <v>DEFERRED / NO PO</v>
      </c>
      <c r="Y130" s="4" t="str">
        <f>IF(U130=0,"N/A",IF(AND(MOD(U130,_xlfn.XLOOKUP($A130,tbl_Catalog[sku_id],tbl_Catalog[master_carton_qty]))=0,U130&gt;=_xlfn.XLOOKUP($A130,tbl_Catalog[sku_id],tbl_Catalog[sku_moq_units])),"MOQ OK","CHECK"))</f>
        <v>N/A</v>
      </c>
      <c r="Z130" s="4" t="str">
        <f t="shared" si="27"/>
        <v>N/A</v>
      </c>
      <c r="AA130" s="41">
        <v>0</v>
      </c>
      <c r="AB130" s="41">
        <v>0</v>
      </c>
      <c r="AC130" s="4" t="b">
        <v>0</v>
      </c>
    </row>
    <row r="131" spans="1:29" x14ac:dyDescent="0.3">
      <c r="A131" s="36" t="s">
        <v>573</v>
      </c>
      <c r="B131" s="16" t="s">
        <v>515</v>
      </c>
      <c r="C131" s="4" t="s">
        <v>188</v>
      </c>
      <c r="D131" s="41">
        <v>239</v>
      </c>
      <c r="E131" s="41">
        <v>0</v>
      </c>
      <c r="F131" s="42">
        <f>'03_FBA_Nivel1_Transfer'!E131+D131-E131</f>
        <v>310</v>
      </c>
      <c r="G131" s="39">
        <f>'02_Demand_Unconstraining'!R131</f>
        <v>1.8667</v>
      </c>
      <c r="H131" s="30">
        <f>'02_Demand_Unconstraining'!S131</f>
        <v>1.7622</v>
      </c>
      <c r="I131" s="29">
        <f>_xlfn.XLOOKUP($A131,tbl_Catalog[sku_id],tbl_Catalog[z_score])</f>
        <v>1.282</v>
      </c>
      <c r="J131" s="41">
        <f t="shared" si="21"/>
        <v>31</v>
      </c>
      <c r="K131" s="41">
        <f>'03_FBA_Nivel1_Transfer'!N131</f>
        <v>9</v>
      </c>
      <c r="L131" s="41">
        <f t="shared" si="22"/>
        <v>181</v>
      </c>
      <c r="M131" s="44">
        <f t="shared" si="23"/>
        <v>265</v>
      </c>
      <c r="N131" s="41">
        <f>_xlfn.CEILING.MATH(_xlfn.XLOOKUP($A131,tbl_Catalog[sku_id],tbl_Catalog[sku_moq_units])/_xlfn.XLOOKUP($A131,tbl_Catalog[sku_id],tbl_Catalog[master_carton_qty]),1)</f>
        <v>5</v>
      </c>
      <c r="O131" s="31">
        <f t="shared" si="24"/>
        <v>69.105908823056737</v>
      </c>
      <c r="P131" s="48">
        <f>_xlfn.LET(_xlpm.ip_sys,$F131,_xlpm.rop_sys,$L131,_xlpm.s_max,$M131,_xlpm.m_qty,_xlfn.XLOOKUP($A131,tbl_Catalog[sku_id],tbl_Catalog[master_carton_qty]),_xlpm.moq,_xlfn.XLOOKUP($A131,tbl_Catalog[sku_id],tbl_Catalog[sku_moq_units]),IF(_xlpm.ip_sys&lt;=_xlpm.rop_sys,_xlfn.CEILING.MATH(MAX(_xlpm.s_max-_xlpm.ip_sys,_xlpm.moq),_xlpm.m_qty),0))</f>
        <v>0</v>
      </c>
      <c r="Q131" s="30">
        <f>IF(P131&gt;0,(P131/_xlfn.XLOOKUP($A131,tbl_Catalog[sku_id],tbl_Catalog[master_carton_qty]))*_xlfn.XLOOKUP($A131,tbl_Catalog[sku_id],tbl_Catalog[carton_volume_cbm]),0)</f>
        <v>0</v>
      </c>
      <c r="R131" s="41">
        <v>0</v>
      </c>
      <c r="S131" s="41">
        <v>0</v>
      </c>
      <c r="T131" s="41">
        <f>S131*_xlfn.XLOOKUP($A131,tbl_Catalog[sku_id],tbl_Catalog[master_carton_qty])</f>
        <v>0</v>
      </c>
      <c r="U131" s="46">
        <f t="shared" si="25"/>
        <v>0</v>
      </c>
      <c r="V131" s="41">
        <f>IF(_xlfn.XLOOKUP($A131,tbl_Catalog[sku_id],tbl_Catalog[master_carton_qty])&gt;0,U131/_xlfn.XLOOKUP($A131,tbl_Catalog[sku_id],tbl_Catalog[master_carton_qty]),0)</f>
        <v>0</v>
      </c>
      <c r="W131" s="38">
        <f>V131*_xlfn.XLOOKUP($A131,tbl_Catalog[sku_id],tbl_Catalog[carton_volume_cbm])</f>
        <v>0</v>
      </c>
      <c r="X131" s="4" t="str">
        <f t="shared" si="26"/>
        <v>DEFERRED / NO PO</v>
      </c>
      <c r="Y131" s="4" t="str">
        <f>IF(U131=0,"N/A",IF(AND(MOD(U131,_xlfn.XLOOKUP($A131,tbl_Catalog[sku_id],tbl_Catalog[master_carton_qty]))=0,U131&gt;=_xlfn.XLOOKUP($A131,tbl_Catalog[sku_id],tbl_Catalog[sku_moq_units])),"MOQ OK","CHECK"))</f>
        <v>N/A</v>
      </c>
      <c r="Z131" s="4" t="str">
        <f t="shared" si="27"/>
        <v>N/A</v>
      </c>
      <c r="AA131" s="41">
        <v>0</v>
      </c>
      <c r="AB131" s="41">
        <v>0</v>
      </c>
      <c r="AC131" s="4" t="b">
        <v>0</v>
      </c>
    </row>
    <row r="132" spans="1:29" x14ac:dyDescent="0.3">
      <c r="A132" s="36" t="s">
        <v>576</v>
      </c>
      <c r="B132" s="16" t="s">
        <v>515</v>
      </c>
      <c r="C132" s="4" t="s">
        <v>188</v>
      </c>
      <c r="D132" s="41">
        <v>166</v>
      </c>
      <c r="E132" s="41">
        <v>0</v>
      </c>
      <c r="F132" s="42">
        <f>'03_FBA_Nivel1_Transfer'!E132+D132-E132</f>
        <v>166</v>
      </c>
      <c r="G132" s="39">
        <f>'02_Demand_Unconstraining'!R132</f>
        <v>1.2696000000000001</v>
      </c>
      <c r="H132" s="30">
        <f>'02_Demand_Unconstraining'!S132</f>
        <v>0.85670000000000002</v>
      </c>
      <c r="I132" s="29">
        <f>_xlfn.XLOOKUP($A132,tbl_Catalog[sku_id],tbl_Catalog[z_score])</f>
        <v>1.282</v>
      </c>
      <c r="J132" s="41">
        <f t="shared" si="21"/>
        <v>19</v>
      </c>
      <c r="K132" s="41">
        <f>'03_FBA_Nivel1_Transfer'!N132</f>
        <v>4</v>
      </c>
      <c r="L132" s="41">
        <f t="shared" si="22"/>
        <v>119</v>
      </c>
      <c r="M132" s="44">
        <f t="shared" si="23"/>
        <v>176</v>
      </c>
      <c r="N132" s="41">
        <f>_xlfn.CEILING.MATH(_xlfn.XLOOKUP($A132,tbl_Catalog[sku_id],tbl_Catalog[sku_moq_units])/_xlfn.XLOOKUP($A132,tbl_Catalog[sku_id],tbl_Catalog[master_carton_qty]),1)</f>
        <v>5</v>
      </c>
      <c r="O132" s="31">
        <f t="shared" si="24"/>
        <v>37.019533711405167</v>
      </c>
      <c r="P132" s="48">
        <f>_xlfn.LET(_xlpm.ip_sys,$F132,_xlpm.rop_sys,$L132,_xlpm.s_max,$M132,_xlpm.m_qty,_xlfn.XLOOKUP($A132,tbl_Catalog[sku_id],tbl_Catalog[master_carton_qty]),_xlpm.moq,_xlfn.XLOOKUP($A132,tbl_Catalog[sku_id],tbl_Catalog[sku_moq_units]),IF(_xlpm.ip_sys&lt;=_xlpm.rop_sys,_xlfn.CEILING.MATH(MAX(_xlpm.s_max-_xlpm.ip_sys,_xlpm.moq),_xlpm.m_qty),0))</f>
        <v>0</v>
      </c>
      <c r="Q132" s="30">
        <f>IF(P132&gt;0,(P132/_xlfn.XLOOKUP($A132,tbl_Catalog[sku_id],tbl_Catalog[master_carton_qty]))*_xlfn.XLOOKUP($A132,tbl_Catalog[sku_id],tbl_Catalog[carton_volume_cbm]),0)</f>
        <v>0</v>
      </c>
      <c r="R132" s="41">
        <v>0</v>
      </c>
      <c r="S132" s="41">
        <v>0</v>
      </c>
      <c r="T132" s="41">
        <f>S132*_xlfn.XLOOKUP($A132,tbl_Catalog[sku_id],tbl_Catalog[master_carton_qty])</f>
        <v>0</v>
      </c>
      <c r="U132" s="46">
        <f t="shared" si="25"/>
        <v>0</v>
      </c>
      <c r="V132" s="41">
        <f>IF(_xlfn.XLOOKUP($A132,tbl_Catalog[sku_id],tbl_Catalog[master_carton_qty])&gt;0,U132/_xlfn.XLOOKUP($A132,tbl_Catalog[sku_id],tbl_Catalog[master_carton_qty]),0)</f>
        <v>0</v>
      </c>
      <c r="W132" s="38">
        <f>V132*_xlfn.XLOOKUP($A132,tbl_Catalog[sku_id],tbl_Catalog[carton_volume_cbm])</f>
        <v>0</v>
      </c>
      <c r="X132" s="4" t="str">
        <f t="shared" si="26"/>
        <v>DEFERRED / NO PO</v>
      </c>
      <c r="Y132" s="4" t="str">
        <f>IF(U132=0,"N/A",IF(AND(MOD(U132,_xlfn.XLOOKUP($A132,tbl_Catalog[sku_id],tbl_Catalog[master_carton_qty]))=0,U132&gt;=_xlfn.XLOOKUP($A132,tbl_Catalog[sku_id],tbl_Catalog[sku_moq_units])),"MOQ OK","CHECK"))</f>
        <v>N/A</v>
      </c>
      <c r="Z132" s="4" t="str">
        <f t="shared" si="27"/>
        <v>N/A</v>
      </c>
      <c r="AA132" s="41">
        <v>0</v>
      </c>
      <c r="AB132" s="41">
        <v>0</v>
      </c>
      <c r="AC132" s="4" t="b">
        <v>0</v>
      </c>
    </row>
    <row r="133" spans="1:29" x14ac:dyDescent="0.3">
      <c r="A133" s="36" t="s">
        <v>579</v>
      </c>
      <c r="B133" s="16" t="s">
        <v>515</v>
      </c>
      <c r="C133" s="4" t="s">
        <v>188</v>
      </c>
      <c r="D133" s="41">
        <v>327</v>
      </c>
      <c r="E133" s="41">
        <v>0</v>
      </c>
      <c r="F133" s="42">
        <f>'03_FBA_Nivel1_Transfer'!E133+D133-E133</f>
        <v>375</v>
      </c>
      <c r="G133" s="39">
        <f>'02_Demand_Unconstraining'!R133</f>
        <v>1.8</v>
      </c>
      <c r="H133" s="30">
        <f>'02_Demand_Unconstraining'!S133</f>
        <v>1.2378</v>
      </c>
      <c r="I133" s="29">
        <f>_xlfn.XLOOKUP($A133,tbl_Catalog[sku_id],tbl_Catalog[z_score])</f>
        <v>1.282</v>
      </c>
      <c r="J133" s="41">
        <f t="shared" ref="J133:J164" si="28">ROUNDUP(I133*SQRT(L2_Mean*(H133^2)+(G133^2)*(L2_Std^2)),0)</f>
        <v>27</v>
      </c>
      <c r="K133" s="41">
        <f>'03_FBA_Nivel1_Transfer'!N133</f>
        <v>7</v>
      </c>
      <c r="L133" s="41">
        <f t="shared" ref="L133:L164" si="29">_xlfn.CEILING.MATH(G133*L2_Mean+J133+K133,1)</f>
        <v>169</v>
      </c>
      <c r="M133" s="44">
        <f t="shared" ref="M133:M164" si="30">_xlfn.CEILING.MATH(G133*(L2_Mean+45)+J133+K133,1)</f>
        <v>250</v>
      </c>
      <c r="N133" s="41">
        <f>_xlfn.CEILING.MATH(_xlfn.XLOOKUP($A133,tbl_Catalog[sku_id],tbl_Catalog[sku_moq_units])/_xlfn.XLOOKUP($A133,tbl_Catalog[sku_id],tbl_Catalog[master_carton_qty]),1)</f>
        <v>5</v>
      </c>
      <c r="O133" s="31">
        <f t="shared" ref="O133:O164" si="31">IF(G133&gt;0,(F133-L133)/G133,999)</f>
        <v>114.44444444444444</v>
      </c>
      <c r="P133" s="48">
        <f>_xlfn.LET(_xlpm.ip_sys,$F133,_xlpm.rop_sys,$L133,_xlpm.s_max,$M133,_xlpm.m_qty,_xlfn.XLOOKUP($A133,tbl_Catalog[sku_id],tbl_Catalog[master_carton_qty]),_xlpm.moq,_xlfn.XLOOKUP($A133,tbl_Catalog[sku_id],tbl_Catalog[sku_moq_units]),IF(_xlpm.ip_sys&lt;=_xlpm.rop_sys,_xlfn.CEILING.MATH(MAX(_xlpm.s_max-_xlpm.ip_sys,_xlpm.moq),_xlpm.m_qty),0))</f>
        <v>0</v>
      </c>
      <c r="Q133" s="30">
        <f>IF(P133&gt;0,(P133/_xlfn.XLOOKUP($A133,tbl_Catalog[sku_id],tbl_Catalog[master_carton_qty]))*_xlfn.XLOOKUP($A133,tbl_Catalog[sku_id],tbl_Catalog[carton_volume_cbm]),0)</f>
        <v>0</v>
      </c>
      <c r="R133" s="41">
        <v>0</v>
      </c>
      <c r="S133" s="41">
        <v>0</v>
      </c>
      <c r="T133" s="41">
        <f>S133*_xlfn.XLOOKUP($A133,tbl_Catalog[sku_id],tbl_Catalog[master_carton_qty])</f>
        <v>0</v>
      </c>
      <c r="U133" s="46">
        <f t="shared" ref="U133:U164" si="32">R133+T133</f>
        <v>0</v>
      </c>
      <c r="V133" s="41">
        <f>IF(_xlfn.XLOOKUP($A133,tbl_Catalog[sku_id],tbl_Catalog[master_carton_qty])&gt;0,U133/_xlfn.XLOOKUP($A133,tbl_Catalog[sku_id],tbl_Catalog[master_carton_qty]),0)</f>
        <v>0</v>
      </c>
      <c r="W133" s="38">
        <f>V133*_xlfn.XLOOKUP($A133,tbl_Catalog[sku_id],tbl_Catalog[carton_volume_cbm])</f>
        <v>0</v>
      </c>
      <c r="X133" s="4" t="str">
        <f t="shared" ref="X133:X164" si="33">IF(U133=0,"DEFERRED / NO PO",IF(S133&gt;0,"BASE + TIER-A TOP-UP","BASE LOAD"))</f>
        <v>DEFERRED / NO PO</v>
      </c>
      <c r="Y133" s="4" t="str">
        <f>IF(U133=0,"N/A",IF(AND(MOD(U133,_xlfn.XLOOKUP($A133,tbl_Catalog[sku_id],tbl_Catalog[master_carton_qty]))=0,U133&gt;=_xlfn.XLOOKUP($A133,tbl_Catalog[sku_id],tbl_Catalog[sku_moq_units])),"MOQ OK","CHECK"))</f>
        <v>N/A</v>
      </c>
      <c r="Z133" s="4" t="str">
        <f t="shared" ref="Z133:Z164" si="34">IF(U133=0,"N/A",IF((F133+U133)/MAX(0.1,G133)&lt;=DOS_Cap,"DOS OK","MOQ OVERRIDE"))</f>
        <v>N/A</v>
      </c>
      <c r="AA133" s="41">
        <v>0</v>
      </c>
      <c r="AB133" s="41">
        <v>0</v>
      </c>
      <c r="AC133" s="4" t="b">
        <v>0</v>
      </c>
    </row>
    <row r="134" spans="1:29" x14ac:dyDescent="0.3">
      <c r="A134" s="36" t="s">
        <v>582</v>
      </c>
      <c r="B134" s="16" t="s">
        <v>515</v>
      </c>
      <c r="C134" s="4" t="s">
        <v>188</v>
      </c>
      <c r="D134" s="41">
        <v>153</v>
      </c>
      <c r="E134" s="41">
        <v>0</v>
      </c>
      <c r="F134" s="42">
        <f>'03_FBA_Nivel1_Transfer'!E134+D134-E134</f>
        <v>153</v>
      </c>
      <c r="G134" s="39">
        <f>'02_Demand_Unconstraining'!R134</f>
        <v>0.63419999999999999</v>
      </c>
      <c r="H134" s="30">
        <f>'02_Demand_Unconstraining'!S134</f>
        <v>0.61280000000000001</v>
      </c>
      <c r="I134" s="29">
        <f>_xlfn.XLOOKUP($A134,tbl_Catalog[sku_id],tbl_Catalog[z_score])</f>
        <v>1.282</v>
      </c>
      <c r="J134" s="41">
        <f t="shared" si="28"/>
        <v>11</v>
      </c>
      <c r="K134" s="41">
        <f>'03_FBA_Nivel1_Transfer'!N134</f>
        <v>3</v>
      </c>
      <c r="L134" s="41">
        <f t="shared" si="29"/>
        <v>62</v>
      </c>
      <c r="M134" s="44">
        <f t="shared" si="30"/>
        <v>91</v>
      </c>
      <c r="N134" s="41">
        <f>_xlfn.CEILING.MATH(_xlfn.XLOOKUP($A134,tbl_Catalog[sku_id],tbl_Catalog[sku_moq_units])/_xlfn.XLOOKUP($A134,tbl_Catalog[sku_id],tbl_Catalog[master_carton_qty]),1)</f>
        <v>5</v>
      </c>
      <c r="O134" s="31">
        <f t="shared" si="31"/>
        <v>143.48785871964679</v>
      </c>
      <c r="P134" s="48">
        <f>_xlfn.LET(_xlpm.ip_sys,$F134,_xlpm.rop_sys,$L134,_xlpm.s_max,$M134,_xlpm.m_qty,_xlfn.XLOOKUP($A134,tbl_Catalog[sku_id],tbl_Catalog[master_carton_qty]),_xlpm.moq,_xlfn.XLOOKUP($A134,tbl_Catalog[sku_id],tbl_Catalog[sku_moq_units]),IF(_xlpm.ip_sys&lt;=_xlpm.rop_sys,_xlfn.CEILING.MATH(MAX(_xlpm.s_max-_xlpm.ip_sys,_xlpm.moq),_xlpm.m_qty),0))</f>
        <v>0</v>
      </c>
      <c r="Q134" s="30">
        <f>IF(P134&gt;0,(P134/_xlfn.XLOOKUP($A134,tbl_Catalog[sku_id],tbl_Catalog[master_carton_qty]))*_xlfn.XLOOKUP($A134,tbl_Catalog[sku_id],tbl_Catalog[carton_volume_cbm]),0)</f>
        <v>0</v>
      </c>
      <c r="R134" s="41">
        <v>0</v>
      </c>
      <c r="S134" s="41">
        <v>0</v>
      </c>
      <c r="T134" s="41">
        <f>S134*_xlfn.XLOOKUP($A134,tbl_Catalog[sku_id],tbl_Catalog[master_carton_qty])</f>
        <v>0</v>
      </c>
      <c r="U134" s="46">
        <f t="shared" si="32"/>
        <v>0</v>
      </c>
      <c r="V134" s="41">
        <f>IF(_xlfn.XLOOKUP($A134,tbl_Catalog[sku_id],tbl_Catalog[master_carton_qty])&gt;0,U134/_xlfn.XLOOKUP($A134,tbl_Catalog[sku_id],tbl_Catalog[master_carton_qty]),0)</f>
        <v>0</v>
      </c>
      <c r="W134" s="38">
        <f>V134*_xlfn.XLOOKUP($A134,tbl_Catalog[sku_id],tbl_Catalog[carton_volume_cbm])</f>
        <v>0</v>
      </c>
      <c r="X134" s="4" t="str">
        <f t="shared" si="33"/>
        <v>DEFERRED / NO PO</v>
      </c>
      <c r="Y134" s="4" t="str">
        <f>IF(U134=0,"N/A",IF(AND(MOD(U134,_xlfn.XLOOKUP($A134,tbl_Catalog[sku_id],tbl_Catalog[master_carton_qty]))=0,U134&gt;=_xlfn.XLOOKUP($A134,tbl_Catalog[sku_id],tbl_Catalog[sku_moq_units])),"MOQ OK","CHECK"))</f>
        <v>N/A</v>
      </c>
      <c r="Z134" s="4" t="str">
        <f t="shared" si="34"/>
        <v>N/A</v>
      </c>
      <c r="AA134" s="41">
        <v>0</v>
      </c>
      <c r="AB134" s="41">
        <v>0</v>
      </c>
      <c r="AC134" s="4" t="b">
        <v>0</v>
      </c>
    </row>
    <row r="135" spans="1:29" x14ac:dyDescent="0.3">
      <c r="A135" s="36" t="s">
        <v>585</v>
      </c>
      <c r="B135" s="16" t="s">
        <v>515</v>
      </c>
      <c r="C135" s="4" t="s">
        <v>188</v>
      </c>
      <c r="D135" s="41">
        <v>245</v>
      </c>
      <c r="E135" s="41">
        <v>0</v>
      </c>
      <c r="F135" s="42">
        <f>'03_FBA_Nivel1_Transfer'!E135+D135-E135</f>
        <v>245</v>
      </c>
      <c r="G135" s="39">
        <f>'02_Demand_Unconstraining'!R135</f>
        <v>1.1246</v>
      </c>
      <c r="H135" s="30">
        <f>'02_Demand_Unconstraining'!S135</f>
        <v>0.76139999999999997</v>
      </c>
      <c r="I135" s="29">
        <f>_xlfn.XLOOKUP($A135,tbl_Catalog[sku_id],tbl_Catalog[z_score])</f>
        <v>1.282</v>
      </c>
      <c r="J135" s="41">
        <f t="shared" si="28"/>
        <v>17</v>
      </c>
      <c r="K135" s="41">
        <f>'03_FBA_Nivel1_Transfer'!N135</f>
        <v>4</v>
      </c>
      <c r="L135" s="41">
        <f t="shared" si="29"/>
        <v>106</v>
      </c>
      <c r="M135" s="44">
        <f t="shared" si="30"/>
        <v>156</v>
      </c>
      <c r="N135" s="41">
        <f>_xlfn.CEILING.MATH(_xlfn.XLOOKUP($A135,tbl_Catalog[sku_id],tbl_Catalog[sku_moq_units])/_xlfn.XLOOKUP($A135,tbl_Catalog[sku_id],tbl_Catalog[master_carton_qty]),1)</f>
        <v>5</v>
      </c>
      <c r="O135" s="31">
        <f t="shared" si="31"/>
        <v>123.59950204517162</v>
      </c>
      <c r="P135" s="48">
        <f>_xlfn.LET(_xlpm.ip_sys,$F135,_xlpm.rop_sys,$L135,_xlpm.s_max,$M135,_xlpm.m_qty,_xlfn.XLOOKUP($A135,tbl_Catalog[sku_id],tbl_Catalog[master_carton_qty]),_xlpm.moq,_xlfn.XLOOKUP($A135,tbl_Catalog[sku_id],tbl_Catalog[sku_moq_units]),IF(_xlpm.ip_sys&lt;=_xlpm.rop_sys,_xlfn.CEILING.MATH(MAX(_xlpm.s_max-_xlpm.ip_sys,_xlpm.moq),_xlpm.m_qty),0))</f>
        <v>0</v>
      </c>
      <c r="Q135" s="30">
        <f>IF(P135&gt;0,(P135/_xlfn.XLOOKUP($A135,tbl_Catalog[sku_id],tbl_Catalog[master_carton_qty]))*_xlfn.XLOOKUP($A135,tbl_Catalog[sku_id],tbl_Catalog[carton_volume_cbm]),0)</f>
        <v>0</v>
      </c>
      <c r="R135" s="41">
        <v>0</v>
      </c>
      <c r="S135" s="41">
        <v>0</v>
      </c>
      <c r="T135" s="41">
        <f>S135*_xlfn.XLOOKUP($A135,tbl_Catalog[sku_id],tbl_Catalog[master_carton_qty])</f>
        <v>0</v>
      </c>
      <c r="U135" s="46">
        <f t="shared" si="32"/>
        <v>0</v>
      </c>
      <c r="V135" s="41">
        <f>IF(_xlfn.XLOOKUP($A135,tbl_Catalog[sku_id],tbl_Catalog[master_carton_qty])&gt;0,U135/_xlfn.XLOOKUP($A135,tbl_Catalog[sku_id],tbl_Catalog[master_carton_qty]),0)</f>
        <v>0</v>
      </c>
      <c r="W135" s="38">
        <f>V135*_xlfn.XLOOKUP($A135,tbl_Catalog[sku_id],tbl_Catalog[carton_volume_cbm])</f>
        <v>0</v>
      </c>
      <c r="X135" s="4" t="str">
        <f t="shared" si="33"/>
        <v>DEFERRED / NO PO</v>
      </c>
      <c r="Y135" s="4" t="str">
        <f>IF(U135=0,"N/A",IF(AND(MOD(U135,_xlfn.XLOOKUP($A135,tbl_Catalog[sku_id],tbl_Catalog[master_carton_qty]))=0,U135&gt;=_xlfn.XLOOKUP($A135,tbl_Catalog[sku_id],tbl_Catalog[sku_moq_units])),"MOQ OK","CHECK"))</f>
        <v>N/A</v>
      </c>
      <c r="Z135" s="4" t="str">
        <f t="shared" si="34"/>
        <v>N/A</v>
      </c>
      <c r="AA135" s="41">
        <v>0</v>
      </c>
      <c r="AB135" s="41">
        <v>0</v>
      </c>
      <c r="AC135" s="4" t="b">
        <v>0</v>
      </c>
    </row>
    <row r="136" spans="1:29" x14ac:dyDescent="0.3">
      <c r="A136" s="36" t="s">
        <v>588</v>
      </c>
      <c r="B136" s="16" t="s">
        <v>515</v>
      </c>
      <c r="C136" s="4" t="s">
        <v>188</v>
      </c>
      <c r="D136" s="41">
        <v>190</v>
      </c>
      <c r="E136" s="41">
        <v>0</v>
      </c>
      <c r="F136" s="42">
        <f>'03_FBA_Nivel1_Transfer'!E136+D136-E136</f>
        <v>190</v>
      </c>
      <c r="G136" s="39">
        <f>'02_Demand_Unconstraining'!R136</f>
        <v>2.3563000000000001</v>
      </c>
      <c r="H136" s="30">
        <f>'02_Demand_Unconstraining'!S136</f>
        <v>2.9645999999999999</v>
      </c>
      <c r="I136" s="29">
        <f>_xlfn.XLOOKUP($A136,tbl_Catalog[sku_id],tbl_Catalog[z_score])</f>
        <v>1.282</v>
      </c>
      <c r="J136" s="41">
        <f t="shared" si="28"/>
        <v>45</v>
      </c>
      <c r="K136" s="41">
        <f>'03_FBA_Nivel1_Transfer'!N136</f>
        <v>17</v>
      </c>
      <c r="L136" s="41">
        <f t="shared" si="29"/>
        <v>239</v>
      </c>
      <c r="M136" s="44">
        <f t="shared" si="30"/>
        <v>345</v>
      </c>
      <c r="N136" s="41">
        <f>_xlfn.CEILING.MATH(_xlfn.XLOOKUP($A136,tbl_Catalog[sku_id],tbl_Catalog[sku_moq_units])/_xlfn.XLOOKUP($A136,tbl_Catalog[sku_id],tbl_Catalog[master_carton_qty]),1)</f>
        <v>5</v>
      </c>
      <c r="O136" s="31">
        <f t="shared" si="31"/>
        <v>-20.795314688282478</v>
      </c>
      <c r="P136" s="48">
        <f>_xlfn.LET(_xlpm.ip_sys,$F136,_xlpm.rop_sys,$L136,_xlpm.s_max,$M136,_xlpm.m_qty,_xlfn.XLOOKUP($A136,tbl_Catalog[sku_id],tbl_Catalog[master_carton_qty]),_xlpm.moq,_xlfn.XLOOKUP($A136,tbl_Catalog[sku_id],tbl_Catalog[sku_moq_units]),IF(_xlpm.ip_sys&lt;=_xlpm.rop_sys,_xlfn.CEILING.MATH(MAX(_xlpm.s_max-_xlpm.ip_sys,_xlpm.moq),_xlpm.m_qty),0))</f>
        <v>500</v>
      </c>
      <c r="Q136" s="30">
        <f>IF(P136&gt;0,(P136/_xlfn.XLOOKUP($A136,tbl_Catalog[sku_id],tbl_Catalog[master_carton_qty]))*_xlfn.XLOOKUP($A136,tbl_Catalog[sku_id],tbl_Catalog[carton_volume_cbm]),0)</f>
        <v>0.15</v>
      </c>
      <c r="R136" s="41">
        <v>0</v>
      </c>
      <c r="S136" s="41">
        <v>0</v>
      </c>
      <c r="T136" s="41">
        <f>S136*_xlfn.XLOOKUP($A136,tbl_Catalog[sku_id],tbl_Catalog[master_carton_qty])</f>
        <v>0</v>
      </c>
      <c r="U136" s="46">
        <f t="shared" si="32"/>
        <v>0</v>
      </c>
      <c r="V136" s="41">
        <f>IF(_xlfn.XLOOKUP($A136,tbl_Catalog[sku_id],tbl_Catalog[master_carton_qty])&gt;0,U136/_xlfn.XLOOKUP($A136,tbl_Catalog[sku_id],tbl_Catalog[master_carton_qty]),0)</f>
        <v>0</v>
      </c>
      <c r="W136" s="38">
        <f>V136*_xlfn.XLOOKUP($A136,tbl_Catalog[sku_id],tbl_Catalog[carton_volume_cbm])</f>
        <v>0</v>
      </c>
      <c r="X136" s="4" t="str">
        <f t="shared" si="33"/>
        <v>DEFERRED / NO PO</v>
      </c>
      <c r="Y136" s="4" t="str">
        <f>IF(U136=0,"N/A",IF(AND(MOD(U136,_xlfn.XLOOKUP($A136,tbl_Catalog[sku_id],tbl_Catalog[master_carton_qty]))=0,U136&gt;=_xlfn.XLOOKUP($A136,tbl_Catalog[sku_id],tbl_Catalog[sku_moq_units])),"MOQ OK","CHECK"))</f>
        <v>N/A</v>
      </c>
      <c r="Z136" s="4" t="str">
        <f t="shared" si="34"/>
        <v>N/A</v>
      </c>
      <c r="AA136" s="41">
        <v>0</v>
      </c>
      <c r="AB136" s="41">
        <v>5</v>
      </c>
      <c r="AC136" s="4" t="b">
        <v>0</v>
      </c>
    </row>
    <row r="137" spans="1:29" x14ac:dyDescent="0.3">
      <c r="A137" s="36" t="s">
        <v>591</v>
      </c>
      <c r="B137" s="16" t="s">
        <v>592</v>
      </c>
      <c r="C137" s="4" t="s">
        <v>184</v>
      </c>
      <c r="D137" s="41">
        <v>0</v>
      </c>
      <c r="E137" s="41">
        <v>0</v>
      </c>
      <c r="F137" s="42">
        <f>'03_FBA_Nivel1_Transfer'!E137+D137-E137</f>
        <v>126</v>
      </c>
      <c r="G137" s="39">
        <f>'02_Demand_Unconstraining'!R137</f>
        <v>10.7478</v>
      </c>
      <c r="H137" s="30">
        <f>'02_Demand_Unconstraining'!S137</f>
        <v>3.8483000000000001</v>
      </c>
      <c r="I137" s="29">
        <f>_xlfn.XLOOKUP($A137,tbl_Catalog[sku_id],tbl_Catalog[z_score])</f>
        <v>1.645</v>
      </c>
      <c r="J137" s="41">
        <f t="shared" si="28"/>
        <v>186</v>
      </c>
      <c r="K137" s="41">
        <f>'03_FBA_Nivel1_Transfer'!N137</f>
        <v>200</v>
      </c>
      <c r="L137" s="41">
        <f t="shared" si="29"/>
        <v>1193</v>
      </c>
      <c r="M137" s="44">
        <f t="shared" si="30"/>
        <v>1676</v>
      </c>
      <c r="N137" s="41">
        <f>_xlfn.CEILING.MATH(_xlfn.XLOOKUP($A137,tbl_Catalog[sku_id],tbl_Catalog[sku_moq_units])/_xlfn.XLOOKUP($A137,tbl_Catalog[sku_id],tbl_Catalog[master_carton_qty]),1)</f>
        <v>6</v>
      </c>
      <c r="O137" s="31">
        <f t="shared" si="31"/>
        <v>-99.276130929120384</v>
      </c>
      <c r="P137" s="48">
        <f>_xlfn.LET(_xlpm.ip_sys,$F137,_xlpm.rop_sys,$L137,_xlpm.s_max,$M137,_xlpm.m_qty,_xlfn.XLOOKUP($A137,tbl_Catalog[sku_id],tbl_Catalog[master_carton_qty]),_xlpm.moq,_xlfn.XLOOKUP($A137,tbl_Catalog[sku_id],tbl_Catalog[sku_moq_units]),IF(_xlpm.ip_sys&lt;=_xlpm.rop_sys,_xlfn.CEILING.MATH(MAX(_xlpm.s_max-_xlpm.ip_sys,_xlpm.moq),_xlpm.m_qty),0))</f>
        <v>1550</v>
      </c>
      <c r="Q137" s="30">
        <f>IF(P137&gt;0,(P137/_xlfn.XLOOKUP($A137,tbl_Catalog[sku_id],tbl_Catalog[master_carton_qty]))*_xlfn.XLOOKUP($A137,tbl_Catalog[sku_id],tbl_Catalog[carton_volume_cbm]),0)</f>
        <v>3.069</v>
      </c>
      <c r="R137" s="41">
        <v>0</v>
      </c>
      <c r="S137" s="41">
        <v>0</v>
      </c>
      <c r="T137" s="41">
        <f>S137*_xlfn.XLOOKUP($A137,tbl_Catalog[sku_id],tbl_Catalog[master_carton_qty])</f>
        <v>0</v>
      </c>
      <c r="U137" s="46">
        <f t="shared" si="32"/>
        <v>0</v>
      </c>
      <c r="V137" s="41">
        <f>IF(_xlfn.XLOOKUP($A137,tbl_Catalog[sku_id],tbl_Catalog[master_carton_qty])&gt;0,U137/_xlfn.XLOOKUP($A137,tbl_Catalog[sku_id],tbl_Catalog[master_carton_qty]),0)</f>
        <v>0</v>
      </c>
      <c r="W137" s="38">
        <f>V137*_xlfn.XLOOKUP($A137,tbl_Catalog[sku_id],tbl_Catalog[carton_volume_cbm])</f>
        <v>0</v>
      </c>
      <c r="X137" s="4" t="str">
        <f t="shared" si="33"/>
        <v>DEFERRED / NO PO</v>
      </c>
      <c r="Y137" s="4" t="str">
        <f>IF(U137=0,"N/A",IF(AND(MOD(U137,_xlfn.XLOOKUP($A137,tbl_Catalog[sku_id],tbl_Catalog[master_carton_qty]))=0,U137&gt;=_xlfn.XLOOKUP($A137,tbl_Catalog[sku_id],tbl_Catalog[sku_moq_units])),"MOQ OK","CHECK"))</f>
        <v>N/A</v>
      </c>
      <c r="Z137" s="4" t="str">
        <f t="shared" si="34"/>
        <v>N/A</v>
      </c>
      <c r="AA137" s="41">
        <v>500</v>
      </c>
      <c r="AB137" s="41">
        <v>26</v>
      </c>
      <c r="AC137" s="4" t="b">
        <v>0</v>
      </c>
    </row>
    <row r="138" spans="1:29" x14ac:dyDescent="0.3">
      <c r="A138" s="36" t="s">
        <v>599</v>
      </c>
      <c r="B138" s="16" t="s">
        <v>592</v>
      </c>
      <c r="C138" s="4" t="s">
        <v>184</v>
      </c>
      <c r="D138" s="41">
        <v>0</v>
      </c>
      <c r="E138" s="41">
        <v>0</v>
      </c>
      <c r="F138" s="42">
        <f>'03_FBA_Nivel1_Transfer'!E138+D138-E138</f>
        <v>156</v>
      </c>
      <c r="G138" s="39">
        <f>'02_Demand_Unconstraining'!R138</f>
        <v>8.0985999999999994</v>
      </c>
      <c r="H138" s="30">
        <f>'02_Demand_Unconstraining'!S138</f>
        <v>2.9039000000000001</v>
      </c>
      <c r="I138" s="29">
        <f>_xlfn.XLOOKUP($A138,tbl_Catalog[sku_id],tbl_Catalog[z_score])</f>
        <v>1.645</v>
      </c>
      <c r="J138" s="41">
        <f t="shared" si="28"/>
        <v>140</v>
      </c>
      <c r="K138" s="41">
        <f>'03_FBA_Nivel1_Transfer'!N138</f>
        <v>152</v>
      </c>
      <c r="L138" s="41">
        <f t="shared" si="29"/>
        <v>900</v>
      </c>
      <c r="M138" s="44">
        <f t="shared" si="30"/>
        <v>1264</v>
      </c>
      <c r="N138" s="41">
        <f>_xlfn.CEILING.MATH(_xlfn.XLOOKUP($A138,tbl_Catalog[sku_id],tbl_Catalog[sku_moq_units])/_xlfn.XLOOKUP($A138,tbl_Catalog[sku_id],tbl_Catalog[master_carton_qty]),1)</f>
        <v>6</v>
      </c>
      <c r="O138" s="31">
        <f t="shared" si="31"/>
        <v>-91.867730224977166</v>
      </c>
      <c r="P138" s="48">
        <f>_xlfn.LET(_xlpm.ip_sys,$F138,_xlpm.rop_sys,$L138,_xlpm.s_max,$M138,_xlpm.m_qty,_xlfn.XLOOKUP($A138,tbl_Catalog[sku_id],tbl_Catalog[master_carton_qty]),_xlpm.moq,_xlfn.XLOOKUP($A138,tbl_Catalog[sku_id],tbl_Catalog[sku_moq_units]),IF(_xlpm.ip_sys&lt;=_xlpm.rop_sys,_xlfn.CEILING.MATH(MAX(_xlpm.s_max-_xlpm.ip_sys,_xlpm.moq),_xlpm.m_qty),0))</f>
        <v>1150</v>
      </c>
      <c r="Q138" s="30">
        <f>IF(P138&gt;0,(P138/_xlfn.XLOOKUP($A138,tbl_Catalog[sku_id],tbl_Catalog[master_carton_qty]))*_xlfn.XLOOKUP($A138,tbl_Catalog[sku_id],tbl_Catalog[carton_volume_cbm]),0)</f>
        <v>2.2770000000000001</v>
      </c>
      <c r="R138" s="41">
        <v>0</v>
      </c>
      <c r="S138" s="41">
        <v>0</v>
      </c>
      <c r="T138" s="41">
        <f>S138*_xlfn.XLOOKUP($A138,tbl_Catalog[sku_id],tbl_Catalog[master_carton_qty])</f>
        <v>0</v>
      </c>
      <c r="U138" s="46">
        <f t="shared" si="32"/>
        <v>0</v>
      </c>
      <c r="V138" s="41">
        <f>IF(_xlfn.XLOOKUP($A138,tbl_Catalog[sku_id],tbl_Catalog[master_carton_qty])&gt;0,U138/_xlfn.XLOOKUP($A138,tbl_Catalog[sku_id],tbl_Catalog[master_carton_qty]),0)</f>
        <v>0</v>
      </c>
      <c r="W138" s="38">
        <f>V138*_xlfn.XLOOKUP($A138,tbl_Catalog[sku_id],tbl_Catalog[carton_volume_cbm])</f>
        <v>0</v>
      </c>
      <c r="X138" s="4" t="str">
        <f t="shared" si="33"/>
        <v>DEFERRED / NO PO</v>
      </c>
      <c r="Y138" s="4" t="str">
        <f>IF(U138=0,"N/A",IF(AND(MOD(U138,_xlfn.XLOOKUP($A138,tbl_Catalog[sku_id],tbl_Catalog[master_carton_qty]))=0,U138&gt;=_xlfn.XLOOKUP($A138,tbl_Catalog[sku_id],tbl_Catalog[sku_moq_units])),"MOQ OK","CHECK"))</f>
        <v>N/A</v>
      </c>
      <c r="Z138" s="4" t="str">
        <f t="shared" si="34"/>
        <v>N/A</v>
      </c>
      <c r="AA138" s="41">
        <v>600</v>
      </c>
      <c r="AB138" s="41">
        <v>18</v>
      </c>
      <c r="AC138" s="4" t="b">
        <v>0</v>
      </c>
    </row>
    <row r="139" spans="1:29" x14ac:dyDescent="0.3">
      <c r="A139" s="36" t="s">
        <v>603</v>
      </c>
      <c r="B139" s="16" t="s">
        <v>592</v>
      </c>
      <c r="C139" s="4" t="s">
        <v>184</v>
      </c>
      <c r="D139" s="41">
        <v>20</v>
      </c>
      <c r="E139" s="41">
        <v>0</v>
      </c>
      <c r="F139" s="42">
        <f>'03_FBA_Nivel1_Transfer'!E139+D139-E139</f>
        <v>195</v>
      </c>
      <c r="G139" s="39">
        <f>'02_Demand_Unconstraining'!R139</f>
        <v>6.2919</v>
      </c>
      <c r="H139" s="30">
        <f>'02_Demand_Unconstraining'!S139</f>
        <v>2.2414000000000001</v>
      </c>
      <c r="I139" s="29">
        <f>_xlfn.XLOOKUP($A139,tbl_Catalog[sku_id],tbl_Catalog[z_score])</f>
        <v>1.645</v>
      </c>
      <c r="J139" s="41">
        <f t="shared" si="28"/>
        <v>109</v>
      </c>
      <c r="K139" s="41">
        <f>'03_FBA_Nivel1_Transfer'!N139</f>
        <v>114</v>
      </c>
      <c r="L139" s="41">
        <f t="shared" si="29"/>
        <v>695</v>
      </c>
      <c r="M139" s="44">
        <f t="shared" si="30"/>
        <v>979</v>
      </c>
      <c r="N139" s="41">
        <f>_xlfn.CEILING.MATH(_xlfn.XLOOKUP($A139,tbl_Catalog[sku_id],tbl_Catalog[sku_moq_units])/_xlfn.XLOOKUP($A139,tbl_Catalog[sku_id],tbl_Catalog[master_carton_qty]),1)</f>
        <v>6</v>
      </c>
      <c r="O139" s="31">
        <f t="shared" si="31"/>
        <v>-79.467251545638035</v>
      </c>
      <c r="P139" s="48">
        <f>_xlfn.LET(_xlpm.ip_sys,$F139,_xlpm.rop_sys,$L139,_xlpm.s_max,$M139,_xlpm.m_qty,_xlfn.XLOOKUP($A139,tbl_Catalog[sku_id],tbl_Catalog[master_carton_qty]),_xlpm.moq,_xlfn.XLOOKUP($A139,tbl_Catalog[sku_id],tbl_Catalog[sku_moq_units]),IF(_xlpm.ip_sys&lt;=_xlpm.rop_sys,_xlfn.CEILING.MATH(MAX(_xlpm.s_max-_xlpm.ip_sys,_xlpm.moq),_xlpm.m_qty),0))</f>
        <v>800</v>
      </c>
      <c r="Q139" s="30">
        <f>IF(P139&gt;0,(P139/_xlfn.XLOOKUP($A139,tbl_Catalog[sku_id],tbl_Catalog[master_carton_qty]))*_xlfn.XLOOKUP($A139,tbl_Catalog[sku_id],tbl_Catalog[carton_volume_cbm]),0)</f>
        <v>1.5840000000000001</v>
      </c>
      <c r="R139" s="41">
        <v>0</v>
      </c>
      <c r="S139" s="41">
        <v>0</v>
      </c>
      <c r="T139" s="41">
        <f>S139*_xlfn.XLOOKUP($A139,tbl_Catalog[sku_id],tbl_Catalog[master_carton_qty])</f>
        <v>0</v>
      </c>
      <c r="U139" s="46">
        <f t="shared" si="32"/>
        <v>0</v>
      </c>
      <c r="V139" s="41">
        <f>IF(_xlfn.XLOOKUP($A139,tbl_Catalog[sku_id],tbl_Catalog[master_carton_qty])&gt;0,U139/_xlfn.XLOOKUP($A139,tbl_Catalog[sku_id],tbl_Catalog[master_carton_qty]),0)</f>
        <v>0</v>
      </c>
      <c r="W139" s="38">
        <f>V139*_xlfn.XLOOKUP($A139,tbl_Catalog[sku_id],tbl_Catalog[carton_volume_cbm])</f>
        <v>0</v>
      </c>
      <c r="X139" s="4" t="str">
        <f t="shared" si="33"/>
        <v>DEFERRED / NO PO</v>
      </c>
      <c r="Y139" s="4" t="str">
        <f>IF(U139=0,"N/A",IF(AND(MOD(U139,_xlfn.XLOOKUP($A139,tbl_Catalog[sku_id],tbl_Catalog[master_carton_qty]))=0,U139&gt;=_xlfn.XLOOKUP($A139,tbl_Catalog[sku_id],tbl_Catalog[sku_moq_units])),"MOQ OK","CHECK"))</f>
        <v>N/A</v>
      </c>
      <c r="Z139" s="4" t="str">
        <f t="shared" si="34"/>
        <v>N/A</v>
      </c>
      <c r="AA139" s="41">
        <v>350</v>
      </c>
      <c r="AB139" s="41">
        <v>13</v>
      </c>
      <c r="AC139" s="4" t="b">
        <v>0</v>
      </c>
    </row>
    <row r="140" spans="1:29" x14ac:dyDescent="0.3">
      <c r="A140" s="36" t="s">
        <v>606</v>
      </c>
      <c r="B140" s="16" t="s">
        <v>592</v>
      </c>
      <c r="C140" s="4" t="s">
        <v>179</v>
      </c>
      <c r="D140" s="41">
        <v>16</v>
      </c>
      <c r="E140" s="41">
        <v>0</v>
      </c>
      <c r="F140" s="42">
        <f>'03_FBA_Nivel1_Transfer'!E140+D140-E140</f>
        <v>172</v>
      </c>
      <c r="G140" s="39">
        <f>'02_Demand_Unconstraining'!R140</f>
        <v>4.8602999999999996</v>
      </c>
      <c r="H140" s="30">
        <f>'02_Demand_Unconstraining'!S140</f>
        <v>2.2134999999999998</v>
      </c>
      <c r="I140" s="29">
        <f>_xlfn.XLOOKUP($A140,tbl_Catalog[sku_id],tbl_Catalog[z_score])</f>
        <v>1.645</v>
      </c>
      <c r="J140" s="41">
        <f t="shared" si="28"/>
        <v>86</v>
      </c>
      <c r="K140" s="41">
        <f>'03_FBA_Nivel1_Transfer'!N140</f>
        <v>99</v>
      </c>
      <c r="L140" s="41">
        <f t="shared" si="29"/>
        <v>550</v>
      </c>
      <c r="M140" s="44">
        <f t="shared" si="30"/>
        <v>769</v>
      </c>
      <c r="N140" s="41">
        <f>_xlfn.CEILING.MATH(_xlfn.XLOOKUP($A140,tbl_Catalog[sku_id],tbl_Catalog[sku_moq_units])/_xlfn.XLOOKUP($A140,tbl_Catalog[sku_id],tbl_Catalog[master_carton_qty]),1)</f>
        <v>6</v>
      </c>
      <c r="O140" s="31">
        <f t="shared" si="31"/>
        <v>-77.772976976729836</v>
      </c>
      <c r="P140" s="48">
        <f>_xlfn.LET(_xlpm.ip_sys,$F140,_xlpm.rop_sys,$L140,_xlpm.s_max,$M140,_xlpm.m_qty,_xlfn.XLOOKUP($A140,tbl_Catalog[sku_id],tbl_Catalog[master_carton_qty]),_xlpm.moq,_xlfn.XLOOKUP($A140,tbl_Catalog[sku_id],tbl_Catalog[sku_moq_units]),IF(_xlpm.ip_sys&lt;=_xlpm.rop_sys,_xlfn.CEILING.MATH(MAX(_xlpm.s_max-_xlpm.ip_sys,_xlpm.moq),_xlpm.m_qty),0))</f>
        <v>600</v>
      </c>
      <c r="Q140" s="30">
        <f>IF(P140&gt;0,(P140/_xlfn.XLOOKUP($A140,tbl_Catalog[sku_id],tbl_Catalog[master_carton_qty]))*_xlfn.XLOOKUP($A140,tbl_Catalog[sku_id],tbl_Catalog[carton_volume_cbm]),0)</f>
        <v>1.1880000000000002</v>
      </c>
      <c r="R140" s="41">
        <v>0</v>
      </c>
      <c r="S140" s="41">
        <v>0</v>
      </c>
      <c r="T140" s="41">
        <f>S140*_xlfn.XLOOKUP($A140,tbl_Catalog[sku_id],tbl_Catalog[master_carton_qty])</f>
        <v>0</v>
      </c>
      <c r="U140" s="46">
        <f t="shared" si="32"/>
        <v>0</v>
      </c>
      <c r="V140" s="41">
        <f>IF(_xlfn.XLOOKUP($A140,tbl_Catalog[sku_id],tbl_Catalog[master_carton_qty])&gt;0,U140/_xlfn.XLOOKUP($A140,tbl_Catalog[sku_id],tbl_Catalog[master_carton_qty]),0)</f>
        <v>0</v>
      </c>
      <c r="W140" s="38">
        <f>V140*_xlfn.XLOOKUP($A140,tbl_Catalog[sku_id],tbl_Catalog[carton_volume_cbm])</f>
        <v>0</v>
      </c>
      <c r="X140" s="4" t="str">
        <f t="shared" si="33"/>
        <v>DEFERRED / NO PO</v>
      </c>
      <c r="Y140" s="4" t="str">
        <f>IF(U140=0,"N/A",IF(AND(MOD(U140,_xlfn.XLOOKUP($A140,tbl_Catalog[sku_id],tbl_Catalog[master_carton_qty]))=0,U140&gt;=_xlfn.XLOOKUP($A140,tbl_Catalog[sku_id],tbl_Catalog[sku_moq_units])),"MOQ OK","CHECK"))</f>
        <v>N/A</v>
      </c>
      <c r="Z140" s="4" t="str">
        <f t="shared" si="34"/>
        <v>N/A</v>
      </c>
      <c r="AA140" s="41">
        <v>300</v>
      </c>
      <c r="AB140" s="41">
        <v>9</v>
      </c>
      <c r="AC140" s="4" t="b">
        <v>0</v>
      </c>
    </row>
    <row r="141" spans="1:29" x14ac:dyDescent="0.3">
      <c r="A141" s="36" t="s">
        <v>609</v>
      </c>
      <c r="B141" s="16" t="s">
        <v>592</v>
      </c>
      <c r="C141" s="4" t="s">
        <v>184</v>
      </c>
      <c r="D141" s="41">
        <v>50</v>
      </c>
      <c r="E141" s="41">
        <v>0</v>
      </c>
      <c r="F141" s="42">
        <f>'03_FBA_Nivel1_Transfer'!E141+D141-E141</f>
        <v>151</v>
      </c>
      <c r="G141" s="39">
        <f>'02_Demand_Unconstraining'!R141</f>
        <v>4.6333000000000002</v>
      </c>
      <c r="H141" s="30">
        <f>'02_Demand_Unconstraining'!S141</f>
        <v>1.6893</v>
      </c>
      <c r="I141" s="29">
        <f>_xlfn.XLOOKUP($A141,tbl_Catalog[sku_id],tbl_Catalog[z_score])</f>
        <v>1.645</v>
      </c>
      <c r="J141" s="41">
        <f t="shared" si="28"/>
        <v>80</v>
      </c>
      <c r="K141" s="41">
        <f>'03_FBA_Nivel1_Transfer'!N141</f>
        <v>93</v>
      </c>
      <c r="L141" s="41">
        <f t="shared" si="29"/>
        <v>521</v>
      </c>
      <c r="M141" s="44">
        <f t="shared" si="30"/>
        <v>729</v>
      </c>
      <c r="N141" s="41">
        <f>_xlfn.CEILING.MATH(_xlfn.XLOOKUP($A141,tbl_Catalog[sku_id],tbl_Catalog[sku_moq_units])/_xlfn.XLOOKUP($A141,tbl_Catalog[sku_id],tbl_Catalog[master_carton_qty]),1)</f>
        <v>6</v>
      </c>
      <c r="O141" s="31">
        <f t="shared" si="31"/>
        <v>-79.856689616472053</v>
      </c>
      <c r="P141" s="48">
        <f>_xlfn.LET(_xlpm.ip_sys,$F141,_xlpm.rop_sys,$L141,_xlpm.s_max,$M141,_xlpm.m_qty,_xlfn.XLOOKUP($A141,tbl_Catalog[sku_id],tbl_Catalog[master_carton_qty]),_xlpm.moq,_xlfn.XLOOKUP($A141,tbl_Catalog[sku_id],tbl_Catalog[sku_moq_units]),IF(_xlpm.ip_sys&lt;=_xlpm.rop_sys,_xlfn.CEILING.MATH(MAX(_xlpm.s_max-_xlpm.ip_sys,_xlpm.moq),_xlpm.m_qty),0))</f>
        <v>600</v>
      </c>
      <c r="Q141" s="30">
        <f>IF(P141&gt;0,(P141/_xlfn.XLOOKUP($A141,tbl_Catalog[sku_id],tbl_Catalog[master_carton_qty]))*_xlfn.XLOOKUP($A141,tbl_Catalog[sku_id],tbl_Catalog[carton_volume_cbm]),0)</f>
        <v>1.1880000000000002</v>
      </c>
      <c r="R141" s="41">
        <v>0</v>
      </c>
      <c r="S141" s="41">
        <v>0</v>
      </c>
      <c r="T141" s="41">
        <f>S141*_xlfn.XLOOKUP($A141,tbl_Catalog[sku_id],tbl_Catalog[master_carton_qty])</f>
        <v>0</v>
      </c>
      <c r="U141" s="46">
        <f t="shared" si="32"/>
        <v>0</v>
      </c>
      <c r="V141" s="41">
        <f>IF(_xlfn.XLOOKUP($A141,tbl_Catalog[sku_id],tbl_Catalog[master_carton_qty])&gt;0,U141/_xlfn.XLOOKUP($A141,tbl_Catalog[sku_id],tbl_Catalog[master_carton_qty]),0)</f>
        <v>0</v>
      </c>
      <c r="W141" s="38">
        <f>V141*_xlfn.XLOOKUP($A141,tbl_Catalog[sku_id],tbl_Catalog[carton_volume_cbm])</f>
        <v>0</v>
      </c>
      <c r="X141" s="4" t="str">
        <f t="shared" si="33"/>
        <v>DEFERRED / NO PO</v>
      </c>
      <c r="Y141" s="4" t="str">
        <f>IF(U141=0,"N/A",IF(AND(MOD(U141,_xlfn.XLOOKUP($A141,tbl_Catalog[sku_id],tbl_Catalog[master_carton_qty]))=0,U141&gt;=_xlfn.XLOOKUP($A141,tbl_Catalog[sku_id],tbl_Catalog[sku_moq_units])),"MOQ OK","CHECK"))</f>
        <v>N/A</v>
      </c>
      <c r="Z141" s="4" t="str">
        <f t="shared" si="34"/>
        <v>N/A</v>
      </c>
      <c r="AA141" s="41">
        <v>300</v>
      </c>
      <c r="AB141" s="41">
        <v>9</v>
      </c>
      <c r="AC141" s="4" t="b">
        <v>0</v>
      </c>
    </row>
    <row r="142" spans="1:29" x14ac:dyDescent="0.3">
      <c r="A142" s="36" t="s">
        <v>612</v>
      </c>
      <c r="B142" s="16" t="s">
        <v>592</v>
      </c>
      <c r="C142" s="4" t="s">
        <v>188</v>
      </c>
      <c r="D142" s="41">
        <v>0</v>
      </c>
      <c r="E142" s="41">
        <v>0</v>
      </c>
      <c r="F142" s="42">
        <f>'03_FBA_Nivel1_Transfer'!E142+D142-E142</f>
        <v>92</v>
      </c>
      <c r="G142" s="39">
        <f>'02_Demand_Unconstraining'!R142</f>
        <v>3.2187999999999999</v>
      </c>
      <c r="H142" s="30">
        <f>'02_Demand_Unconstraining'!S142</f>
        <v>2.7259000000000002</v>
      </c>
      <c r="I142" s="29">
        <f>_xlfn.XLOOKUP($A142,tbl_Catalog[sku_id],tbl_Catalog[z_score])</f>
        <v>1.282</v>
      </c>
      <c r="J142" s="41">
        <f t="shared" si="28"/>
        <v>52</v>
      </c>
      <c r="K142" s="41">
        <f>'03_FBA_Nivel1_Transfer'!N142</f>
        <v>13</v>
      </c>
      <c r="L142" s="41">
        <f t="shared" si="29"/>
        <v>307</v>
      </c>
      <c r="M142" s="44">
        <f t="shared" si="30"/>
        <v>452</v>
      </c>
      <c r="N142" s="41">
        <f>_xlfn.CEILING.MATH(_xlfn.XLOOKUP($A142,tbl_Catalog[sku_id],tbl_Catalog[sku_moq_units])/_xlfn.XLOOKUP($A142,tbl_Catalog[sku_id],tbl_Catalog[master_carton_qty]),1)</f>
        <v>6</v>
      </c>
      <c r="O142" s="31">
        <f t="shared" si="31"/>
        <v>-66.795078911395549</v>
      </c>
      <c r="P142" s="48">
        <f>_xlfn.LET(_xlpm.ip_sys,$F142,_xlpm.rop_sys,$L142,_xlpm.s_max,$M142,_xlpm.m_qty,_xlfn.XLOOKUP($A142,tbl_Catalog[sku_id],tbl_Catalog[master_carton_qty]),_xlpm.moq,_xlfn.XLOOKUP($A142,tbl_Catalog[sku_id],tbl_Catalog[sku_moq_units]),IF(_xlpm.ip_sys&lt;=_xlpm.rop_sys,_xlfn.CEILING.MATH(MAX(_xlpm.s_max-_xlpm.ip_sys,_xlpm.moq),_xlpm.m_qty),0))</f>
        <v>400</v>
      </c>
      <c r="Q142" s="30">
        <f>IF(P142&gt;0,(P142/_xlfn.XLOOKUP($A142,tbl_Catalog[sku_id],tbl_Catalog[master_carton_qty]))*_xlfn.XLOOKUP($A142,tbl_Catalog[sku_id],tbl_Catalog[carton_volume_cbm]),0)</f>
        <v>0.79200000000000004</v>
      </c>
      <c r="R142" s="41">
        <v>0</v>
      </c>
      <c r="S142" s="41">
        <v>0</v>
      </c>
      <c r="T142" s="41">
        <f>S142*_xlfn.XLOOKUP($A142,tbl_Catalog[sku_id],tbl_Catalog[master_carton_qty])</f>
        <v>0</v>
      </c>
      <c r="U142" s="46">
        <f t="shared" si="32"/>
        <v>0</v>
      </c>
      <c r="V142" s="41">
        <f>IF(_xlfn.XLOOKUP($A142,tbl_Catalog[sku_id],tbl_Catalog[master_carton_qty])&gt;0,U142/_xlfn.XLOOKUP($A142,tbl_Catalog[sku_id],tbl_Catalog[master_carton_qty]),0)</f>
        <v>0</v>
      </c>
      <c r="W142" s="38">
        <f>V142*_xlfn.XLOOKUP($A142,tbl_Catalog[sku_id],tbl_Catalog[carton_volume_cbm])</f>
        <v>0</v>
      </c>
      <c r="X142" s="4" t="str">
        <f t="shared" si="33"/>
        <v>DEFERRED / NO PO</v>
      </c>
      <c r="Y142" s="4" t="str">
        <f>IF(U142=0,"N/A",IF(AND(MOD(U142,_xlfn.XLOOKUP($A142,tbl_Catalog[sku_id],tbl_Catalog[master_carton_qty]))=0,U142&gt;=_xlfn.XLOOKUP($A142,tbl_Catalog[sku_id],tbl_Catalog[sku_moq_units])),"MOQ OK","CHECK"))</f>
        <v>N/A</v>
      </c>
      <c r="Z142" s="4" t="str">
        <f t="shared" si="34"/>
        <v>N/A</v>
      </c>
      <c r="AA142" s="41">
        <v>300</v>
      </c>
      <c r="AB142" s="41">
        <v>6</v>
      </c>
      <c r="AC142" s="4" t="b">
        <v>0</v>
      </c>
    </row>
    <row r="143" spans="1:29" x14ac:dyDescent="0.3">
      <c r="A143" s="36" t="s">
        <v>615</v>
      </c>
      <c r="B143" s="16" t="s">
        <v>592</v>
      </c>
      <c r="C143" s="4" t="s">
        <v>184</v>
      </c>
      <c r="D143" s="41">
        <v>63</v>
      </c>
      <c r="E143" s="41">
        <v>0</v>
      </c>
      <c r="F143" s="42">
        <f>'03_FBA_Nivel1_Transfer'!E143+D143-E143</f>
        <v>140</v>
      </c>
      <c r="G143" s="39">
        <f>'02_Demand_Unconstraining'!R143</f>
        <v>3.8666999999999998</v>
      </c>
      <c r="H143" s="30">
        <f>'02_Demand_Unconstraining'!S143</f>
        <v>1.3703000000000001</v>
      </c>
      <c r="I143" s="29">
        <f>_xlfn.XLOOKUP($A143,tbl_Catalog[sku_id],tbl_Catalog[z_score])</f>
        <v>1.645</v>
      </c>
      <c r="J143" s="41">
        <f t="shared" si="28"/>
        <v>67</v>
      </c>
      <c r="K143" s="41">
        <f>'03_FBA_Nivel1_Transfer'!N143</f>
        <v>13</v>
      </c>
      <c r="L143" s="41">
        <f t="shared" si="29"/>
        <v>371</v>
      </c>
      <c r="M143" s="44">
        <f t="shared" si="30"/>
        <v>545</v>
      </c>
      <c r="N143" s="41">
        <f>_xlfn.CEILING.MATH(_xlfn.XLOOKUP($A143,tbl_Catalog[sku_id],tbl_Catalog[sku_moq_units])/_xlfn.XLOOKUP($A143,tbl_Catalog[sku_id],tbl_Catalog[master_carton_qty]),1)</f>
        <v>6</v>
      </c>
      <c r="O143" s="31">
        <f t="shared" si="31"/>
        <v>-59.740864302893947</v>
      </c>
      <c r="P143" s="48">
        <f>_xlfn.LET(_xlpm.ip_sys,$F143,_xlpm.rop_sys,$L143,_xlpm.s_max,$M143,_xlpm.m_qty,_xlfn.XLOOKUP($A143,tbl_Catalog[sku_id],tbl_Catalog[master_carton_qty]),_xlpm.moq,_xlfn.XLOOKUP($A143,tbl_Catalog[sku_id],tbl_Catalog[sku_moq_units]),IF(_xlpm.ip_sys&lt;=_xlpm.rop_sys,_xlfn.CEILING.MATH(MAX(_xlpm.s_max-_xlpm.ip_sys,_xlpm.moq),_xlpm.m_qty),0))</f>
        <v>450</v>
      </c>
      <c r="Q143" s="30">
        <f>IF(P143&gt;0,(P143/_xlfn.XLOOKUP($A143,tbl_Catalog[sku_id],tbl_Catalog[master_carton_qty]))*_xlfn.XLOOKUP($A143,tbl_Catalog[sku_id],tbl_Catalog[carton_volume_cbm]),0)</f>
        <v>0.89100000000000001</v>
      </c>
      <c r="R143" s="41">
        <v>0</v>
      </c>
      <c r="S143" s="41">
        <v>0</v>
      </c>
      <c r="T143" s="41">
        <f>S143*_xlfn.XLOOKUP($A143,tbl_Catalog[sku_id],tbl_Catalog[master_carton_qty])</f>
        <v>0</v>
      </c>
      <c r="U143" s="46">
        <f t="shared" si="32"/>
        <v>0</v>
      </c>
      <c r="V143" s="41">
        <f>IF(_xlfn.XLOOKUP($A143,tbl_Catalog[sku_id],tbl_Catalog[master_carton_qty])&gt;0,U143/_xlfn.XLOOKUP($A143,tbl_Catalog[sku_id],tbl_Catalog[master_carton_qty]),0)</f>
        <v>0</v>
      </c>
      <c r="W143" s="38">
        <f>V143*_xlfn.XLOOKUP($A143,tbl_Catalog[sku_id],tbl_Catalog[carton_volume_cbm])</f>
        <v>0</v>
      </c>
      <c r="X143" s="4" t="str">
        <f t="shared" si="33"/>
        <v>DEFERRED / NO PO</v>
      </c>
      <c r="Y143" s="4" t="str">
        <f>IF(U143=0,"N/A",IF(AND(MOD(U143,_xlfn.XLOOKUP($A143,tbl_Catalog[sku_id],tbl_Catalog[master_carton_qty]))=0,U143&gt;=_xlfn.XLOOKUP($A143,tbl_Catalog[sku_id],tbl_Catalog[sku_moq_units])),"MOQ OK","CHECK"))</f>
        <v>N/A</v>
      </c>
      <c r="Z143" s="4" t="str">
        <f t="shared" si="34"/>
        <v>N/A</v>
      </c>
      <c r="AA143" s="41">
        <v>300</v>
      </c>
      <c r="AB143" s="41">
        <v>7</v>
      </c>
      <c r="AC143" s="4" t="b">
        <v>0</v>
      </c>
    </row>
    <row r="144" spans="1:29" x14ac:dyDescent="0.3">
      <c r="A144" s="36" t="s">
        <v>618</v>
      </c>
      <c r="B144" s="16" t="s">
        <v>592</v>
      </c>
      <c r="C144" s="4" t="s">
        <v>188</v>
      </c>
      <c r="D144" s="41">
        <v>130</v>
      </c>
      <c r="E144" s="41">
        <v>0</v>
      </c>
      <c r="F144" s="42">
        <f>'03_FBA_Nivel1_Transfer'!E144+D144-E144</f>
        <v>197</v>
      </c>
      <c r="G144" s="39">
        <f>'02_Demand_Unconstraining'!R144</f>
        <v>2.2000000000000002</v>
      </c>
      <c r="H144" s="30">
        <f>'02_Demand_Unconstraining'!S144</f>
        <v>2.0226999999999999</v>
      </c>
      <c r="I144" s="29">
        <f>_xlfn.XLOOKUP($A144,tbl_Catalog[sku_id],tbl_Catalog[z_score])</f>
        <v>1.282</v>
      </c>
      <c r="J144" s="41">
        <f t="shared" si="28"/>
        <v>37</v>
      </c>
      <c r="K144" s="41">
        <f>'03_FBA_Nivel1_Transfer'!N144</f>
        <v>10</v>
      </c>
      <c r="L144" s="41">
        <f t="shared" si="29"/>
        <v>212</v>
      </c>
      <c r="M144" s="44">
        <f t="shared" si="30"/>
        <v>311</v>
      </c>
      <c r="N144" s="41">
        <f>_xlfn.CEILING.MATH(_xlfn.XLOOKUP($A144,tbl_Catalog[sku_id],tbl_Catalog[sku_moq_units])/_xlfn.XLOOKUP($A144,tbl_Catalog[sku_id],tbl_Catalog[master_carton_qty]),1)</f>
        <v>6</v>
      </c>
      <c r="O144" s="31">
        <f t="shared" si="31"/>
        <v>-6.8181818181818175</v>
      </c>
      <c r="P144" s="48">
        <f>_xlfn.LET(_xlpm.ip_sys,$F144,_xlpm.rop_sys,$L144,_xlpm.s_max,$M144,_xlpm.m_qty,_xlfn.XLOOKUP($A144,tbl_Catalog[sku_id],tbl_Catalog[master_carton_qty]),_xlpm.moq,_xlfn.XLOOKUP($A144,tbl_Catalog[sku_id],tbl_Catalog[sku_moq_units]),IF(_xlpm.ip_sys&lt;=_xlpm.rop_sys,_xlfn.CEILING.MATH(MAX(_xlpm.s_max-_xlpm.ip_sys,_xlpm.moq),_xlpm.m_qty),0))</f>
        <v>300</v>
      </c>
      <c r="Q144" s="30">
        <f>IF(P144&gt;0,(P144/_xlfn.XLOOKUP($A144,tbl_Catalog[sku_id],tbl_Catalog[master_carton_qty]))*_xlfn.XLOOKUP($A144,tbl_Catalog[sku_id],tbl_Catalog[carton_volume_cbm]),0)</f>
        <v>0.59400000000000008</v>
      </c>
      <c r="R144" s="41">
        <v>0</v>
      </c>
      <c r="S144" s="41">
        <v>0</v>
      </c>
      <c r="T144" s="41">
        <f>S144*_xlfn.XLOOKUP($A144,tbl_Catalog[sku_id],tbl_Catalog[master_carton_qty])</f>
        <v>0</v>
      </c>
      <c r="U144" s="46">
        <f t="shared" si="32"/>
        <v>0</v>
      </c>
      <c r="V144" s="41">
        <f>IF(_xlfn.XLOOKUP($A144,tbl_Catalog[sku_id],tbl_Catalog[master_carton_qty])&gt;0,U144/_xlfn.XLOOKUP($A144,tbl_Catalog[sku_id],tbl_Catalog[master_carton_qty]),0)</f>
        <v>0</v>
      </c>
      <c r="W144" s="38">
        <f>V144*_xlfn.XLOOKUP($A144,tbl_Catalog[sku_id],tbl_Catalog[carton_volume_cbm])</f>
        <v>0</v>
      </c>
      <c r="X144" s="4" t="str">
        <f t="shared" si="33"/>
        <v>DEFERRED / NO PO</v>
      </c>
      <c r="Y144" s="4" t="str">
        <f>IF(U144=0,"N/A",IF(AND(MOD(U144,_xlfn.XLOOKUP($A144,tbl_Catalog[sku_id],tbl_Catalog[master_carton_qty]))=0,U144&gt;=_xlfn.XLOOKUP($A144,tbl_Catalog[sku_id],tbl_Catalog[sku_moq_units])),"MOQ OK","CHECK"))</f>
        <v>N/A</v>
      </c>
      <c r="Z144" s="4" t="str">
        <f t="shared" si="34"/>
        <v>N/A</v>
      </c>
      <c r="AA144" s="41">
        <v>0</v>
      </c>
      <c r="AB144" s="41">
        <v>6</v>
      </c>
      <c r="AC144" s="4" t="b">
        <v>0</v>
      </c>
    </row>
    <row r="145" spans="1:29" x14ac:dyDescent="0.3">
      <c r="A145" s="36" t="s">
        <v>621</v>
      </c>
      <c r="B145" s="16" t="s">
        <v>592</v>
      </c>
      <c r="C145" s="4" t="s">
        <v>184</v>
      </c>
      <c r="D145" s="41">
        <v>112</v>
      </c>
      <c r="E145" s="41">
        <v>0</v>
      </c>
      <c r="F145" s="42">
        <f>'03_FBA_Nivel1_Transfer'!E145+D145-E145</f>
        <v>357</v>
      </c>
      <c r="G145" s="39">
        <f>'02_Demand_Unconstraining'!R145</f>
        <v>9.4666999999999994</v>
      </c>
      <c r="H145" s="30">
        <f>'02_Demand_Unconstraining'!S145</f>
        <v>3.3868999999999998</v>
      </c>
      <c r="I145" s="29">
        <f>_xlfn.XLOOKUP($A145,tbl_Catalog[sku_id],tbl_Catalog[z_score])</f>
        <v>1.645</v>
      </c>
      <c r="J145" s="41">
        <f t="shared" si="28"/>
        <v>164</v>
      </c>
      <c r="K145" s="41">
        <f>'03_FBA_Nivel1_Transfer'!N145</f>
        <v>175</v>
      </c>
      <c r="L145" s="41">
        <f t="shared" si="29"/>
        <v>1050</v>
      </c>
      <c r="M145" s="44">
        <f t="shared" si="30"/>
        <v>1476</v>
      </c>
      <c r="N145" s="41">
        <f>_xlfn.CEILING.MATH(_xlfn.XLOOKUP($A145,tbl_Catalog[sku_id],tbl_Catalog[sku_moq_units])/_xlfn.XLOOKUP($A145,tbl_Catalog[sku_id],tbl_Catalog[master_carton_qty]),1)</f>
        <v>6</v>
      </c>
      <c r="O145" s="31">
        <f t="shared" si="31"/>
        <v>-73.203967591663414</v>
      </c>
      <c r="P145" s="48">
        <f>_xlfn.LET(_xlpm.ip_sys,$F145,_xlpm.rop_sys,$L145,_xlpm.s_max,$M145,_xlpm.m_qty,_xlfn.XLOOKUP($A145,tbl_Catalog[sku_id],tbl_Catalog[master_carton_qty]),_xlpm.moq,_xlfn.XLOOKUP($A145,tbl_Catalog[sku_id],tbl_Catalog[sku_moq_units]),IF(_xlpm.ip_sys&lt;=_xlpm.rop_sys,_xlfn.CEILING.MATH(MAX(_xlpm.s_max-_xlpm.ip_sys,_xlpm.moq),_xlpm.m_qty),0))</f>
        <v>1150</v>
      </c>
      <c r="Q145" s="30">
        <f>IF(P145&gt;0,(P145/_xlfn.XLOOKUP($A145,tbl_Catalog[sku_id],tbl_Catalog[master_carton_qty]))*_xlfn.XLOOKUP($A145,tbl_Catalog[sku_id],tbl_Catalog[carton_volume_cbm]),0)</f>
        <v>2.2770000000000001</v>
      </c>
      <c r="R145" s="41">
        <v>0</v>
      </c>
      <c r="S145" s="41">
        <v>0</v>
      </c>
      <c r="T145" s="41">
        <f>S145*_xlfn.XLOOKUP($A145,tbl_Catalog[sku_id],tbl_Catalog[master_carton_qty])</f>
        <v>0</v>
      </c>
      <c r="U145" s="46">
        <f t="shared" si="32"/>
        <v>0</v>
      </c>
      <c r="V145" s="41">
        <f>IF(_xlfn.XLOOKUP($A145,tbl_Catalog[sku_id],tbl_Catalog[master_carton_qty])&gt;0,U145/_xlfn.XLOOKUP($A145,tbl_Catalog[sku_id],tbl_Catalog[master_carton_qty]),0)</f>
        <v>0</v>
      </c>
      <c r="W145" s="38">
        <f>V145*_xlfn.XLOOKUP($A145,tbl_Catalog[sku_id],tbl_Catalog[carton_volume_cbm])</f>
        <v>0</v>
      </c>
      <c r="X145" s="4" t="str">
        <f t="shared" si="33"/>
        <v>DEFERRED / NO PO</v>
      </c>
      <c r="Y145" s="4" t="str">
        <f>IF(U145=0,"N/A",IF(AND(MOD(U145,_xlfn.XLOOKUP($A145,tbl_Catalog[sku_id],tbl_Catalog[master_carton_qty]))=0,U145&gt;=_xlfn.XLOOKUP($A145,tbl_Catalog[sku_id],tbl_Catalog[sku_moq_units])),"MOQ OK","CHECK"))</f>
        <v>N/A</v>
      </c>
      <c r="Z145" s="4" t="str">
        <f t="shared" si="34"/>
        <v>N/A</v>
      </c>
      <c r="AA145" s="41">
        <v>600</v>
      </c>
      <c r="AB145" s="41">
        <v>18</v>
      </c>
      <c r="AC145" s="4" t="b">
        <v>0</v>
      </c>
    </row>
    <row r="146" spans="1:29" x14ac:dyDescent="0.3">
      <c r="A146" s="36" t="s">
        <v>624</v>
      </c>
      <c r="B146" s="16" t="s">
        <v>592</v>
      </c>
      <c r="C146" s="4" t="s">
        <v>184</v>
      </c>
      <c r="D146" s="41">
        <v>298</v>
      </c>
      <c r="E146" s="41">
        <v>0</v>
      </c>
      <c r="F146" s="42">
        <f>'03_FBA_Nivel1_Transfer'!E146+D146-E146</f>
        <v>315</v>
      </c>
      <c r="G146" s="39">
        <f>'02_Demand_Unconstraining'!R146</f>
        <v>4.2964000000000002</v>
      </c>
      <c r="H146" s="30">
        <f>'02_Demand_Unconstraining'!S146</f>
        <v>1.5190999999999999</v>
      </c>
      <c r="I146" s="29">
        <f>_xlfn.XLOOKUP($A146,tbl_Catalog[sku_id],tbl_Catalog[z_score])</f>
        <v>1.645</v>
      </c>
      <c r="J146" s="41">
        <f t="shared" si="28"/>
        <v>74</v>
      </c>
      <c r="K146" s="41">
        <f>'03_FBA_Nivel1_Transfer'!N146</f>
        <v>13</v>
      </c>
      <c r="L146" s="41">
        <f t="shared" si="29"/>
        <v>410</v>
      </c>
      <c r="M146" s="44">
        <f t="shared" si="30"/>
        <v>603</v>
      </c>
      <c r="N146" s="41">
        <f>_xlfn.CEILING.MATH(_xlfn.XLOOKUP($A146,tbl_Catalog[sku_id],tbl_Catalog[sku_moq_units])/_xlfn.XLOOKUP($A146,tbl_Catalog[sku_id],tbl_Catalog[master_carton_qty]),1)</f>
        <v>6</v>
      </c>
      <c r="O146" s="31">
        <f t="shared" si="31"/>
        <v>-22.111535238804578</v>
      </c>
      <c r="P146" s="48">
        <f>_xlfn.LET(_xlpm.ip_sys,$F146,_xlpm.rop_sys,$L146,_xlpm.s_max,$M146,_xlpm.m_qty,_xlfn.XLOOKUP($A146,tbl_Catalog[sku_id],tbl_Catalog[master_carton_qty]),_xlpm.moq,_xlfn.XLOOKUP($A146,tbl_Catalog[sku_id],tbl_Catalog[sku_moq_units]),IF(_xlpm.ip_sys&lt;=_xlpm.rop_sys,_xlfn.CEILING.MATH(MAX(_xlpm.s_max-_xlpm.ip_sys,_xlpm.moq),_xlpm.m_qty),0))</f>
        <v>300</v>
      </c>
      <c r="Q146" s="30">
        <f>IF(P146&gt;0,(P146/_xlfn.XLOOKUP($A146,tbl_Catalog[sku_id],tbl_Catalog[master_carton_qty]))*_xlfn.XLOOKUP($A146,tbl_Catalog[sku_id],tbl_Catalog[carton_volume_cbm]),0)</f>
        <v>0.59400000000000008</v>
      </c>
      <c r="R146" s="41">
        <v>0</v>
      </c>
      <c r="S146" s="41">
        <v>0</v>
      </c>
      <c r="T146" s="41">
        <f>S146*_xlfn.XLOOKUP($A146,tbl_Catalog[sku_id],tbl_Catalog[master_carton_qty])</f>
        <v>0</v>
      </c>
      <c r="U146" s="46">
        <f t="shared" si="32"/>
        <v>0</v>
      </c>
      <c r="V146" s="41">
        <f>IF(_xlfn.XLOOKUP($A146,tbl_Catalog[sku_id],tbl_Catalog[master_carton_qty])&gt;0,U146/_xlfn.XLOOKUP($A146,tbl_Catalog[sku_id],tbl_Catalog[master_carton_qty]),0)</f>
        <v>0</v>
      </c>
      <c r="W146" s="38">
        <f>V146*_xlfn.XLOOKUP($A146,tbl_Catalog[sku_id],tbl_Catalog[carton_volume_cbm])</f>
        <v>0</v>
      </c>
      <c r="X146" s="4" t="str">
        <f t="shared" si="33"/>
        <v>DEFERRED / NO PO</v>
      </c>
      <c r="Y146" s="4" t="str">
        <f>IF(U146=0,"N/A",IF(AND(MOD(U146,_xlfn.XLOOKUP($A146,tbl_Catalog[sku_id],tbl_Catalog[master_carton_qty]))=0,U146&gt;=_xlfn.XLOOKUP($A146,tbl_Catalog[sku_id],tbl_Catalog[sku_moq_units])),"MOQ OK","CHECK"))</f>
        <v>N/A</v>
      </c>
      <c r="Z146" s="4" t="str">
        <f t="shared" si="34"/>
        <v>N/A</v>
      </c>
      <c r="AA146" s="41">
        <v>0</v>
      </c>
      <c r="AB146" s="41">
        <v>6</v>
      </c>
      <c r="AC146" s="4" t="b">
        <v>0</v>
      </c>
    </row>
    <row r="147" spans="1:29" x14ac:dyDescent="0.3">
      <c r="A147" s="36" t="s">
        <v>627</v>
      </c>
      <c r="B147" s="16" t="s">
        <v>592</v>
      </c>
      <c r="C147" s="4" t="s">
        <v>184</v>
      </c>
      <c r="D147" s="41">
        <v>124</v>
      </c>
      <c r="E147" s="41">
        <v>0</v>
      </c>
      <c r="F147" s="42">
        <f>'03_FBA_Nivel1_Transfer'!E147+D147-E147</f>
        <v>203</v>
      </c>
      <c r="G147" s="39">
        <f>'02_Demand_Unconstraining'!R147</f>
        <v>2.8</v>
      </c>
      <c r="H147" s="30">
        <f>'02_Demand_Unconstraining'!S147</f>
        <v>0.99250000000000005</v>
      </c>
      <c r="I147" s="29">
        <f>_xlfn.XLOOKUP($A147,tbl_Catalog[sku_id],tbl_Catalog[z_score])</f>
        <v>1.645</v>
      </c>
      <c r="J147" s="41">
        <f t="shared" si="28"/>
        <v>49</v>
      </c>
      <c r="K147" s="41">
        <f>'03_FBA_Nivel1_Transfer'!N147</f>
        <v>9</v>
      </c>
      <c r="L147" s="41">
        <f t="shared" si="29"/>
        <v>268</v>
      </c>
      <c r="M147" s="44">
        <f t="shared" si="30"/>
        <v>394</v>
      </c>
      <c r="N147" s="41">
        <f>_xlfn.CEILING.MATH(_xlfn.XLOOKUP($A147,tbl_Catalog[sku_id],tbl_Catalog[sku_moq_units])/_xlfn.XLOOKUP($A147,tbl_Catalog[sku_id],tbl_Catalog[master_carton_qty]),1)</f>
        <v>6</v>
      </c>
      <c r="O147" s="31">
        <f t="shared" si="31"/>
        <v>-23.214285714285715</v>
      </c>
      <c r="P147" s="48">
        <f>_xlfn.LET(_xlpm.ip_sys,$F147,_xlpm.rop_sys,$L147,_xlpm.s_max,$M147,_xlpm.m_qty,_xlfn.XLOOKUP($A147,tbl_Catalog[sku_id],tbl_Catalog[master_carton_qty]),_xlpm.moq,_xlfn.XLOOKUP($A147,tbl_Catalog[sku_id],tbl_Catalog[sku_moq_units]),IF(_xlpm.ip_sys&lt;=_xlpm.rop_sys,_xlfn.CEILING.MATH(MAX(_xlpm.s_max-_xlpm.ip_sys,_xlpm.moq),_xlpm.m_qty),0))</f>
        <v>300</v>
      </c>
      <c r="Q147" s="30">
        <f>IF(P147&gt;0,(P147/_xlfn.XLOOKUP($A147,tbl_Catalog[sku_id],tbl_Catalog[master_carton_qty]))*_xlfn.XLOOKUP($A147,tbl_Catalog[sku_id],tbl_Catalog[carton_volume_cbm]),0)</f>
        <v>0.59400000000000008</v>
      </c>
      <c r="R147" s="41">
        <v>0</v>
      </c>
      <c r="S147" s="41">
        <v>0</v>
      </c>
      <c r="T147" s="41">
        <f>S147*_xlfn.XLOOKUP($A147,tbl_Catalog[sku_id],tbl_Catalog[master_carton_qty])</f>
        <v>0</v>
      </c>
      <c r="U147" s="46">
        <f t="shared" si="32"/>
        <v>0</v>
      </c>
      <c r="V147" s="41">
        <f>IF(_xlfn.XLOOKUP($A147,tbl_Catalog[sku_id],tbl_Catalog[master_carton_qty])&gt;0,U147/_xlfn.XLOOKUP($A147,tbl_Catalog[sku_id],tbl_Catalog[master_carton_qty]),0)</f>
        <v>0</v>
      </c>
      <c r="W147" s="38">
        <f>V147*_xlfn.XLOOKUP($A147,tbl_Catalog[sku_id],tbl_Catalog[carton_volume_cbm])</f>
        <v>0</v>
      </c>
      <c r="X147" s="4" t="str">
        <f t="shared" si="33"/>
        <v>DEFERRED / NO PO</v>
      </c>
      <c r="Y147" s="4" t="str">
        <f>IF(U147=0,"N/A",IF(AND(MOD(U147,_xlfn.XLOOKUP($A147,tbl_Catalog[sku_id],tbl_Catalog[master_carton_qty]))=0,U147&gt;=_xlfn.XLOOKUP($A147,tbl_Catalog[sku_id],tbl_Catalog[sku_moq_units])),"MOQ OK","CHECK"))</f>
        <v>N/A</v>
      </c>
      <c r="Z147" s="4" t="str">
        <f t="shared" si="34"/>
        <v>N/A</v>
      </c>
      <c r="AA147" s="41">
        <v>300</v>
      </c>
      <c r="AB147" s="41">
        <v>6</v>
      </c>
      <c r="AC147" s="4" t="b">
        <v>0</v>
      </c>
    </row>
    <row r="148" spans="1:29" x14ac:dyDescent="0.3">
      <c r="A148" s="36" t="s">
        <v>630</v>
      </c>
      <c r="B148" s="16" t="s">
        <v>592</v>
      </c>
      <c r="C148" s="4" t="s">
        <v>188</v>
      </c>
      <c r="D148" s="41">
        <v>92</v>
      </c>
      <c r="E148" s="41">
        <v>0</v>
      </c>
      <c r="F148" s="42">
        <f>'03_FBA_Nivel1_Transfer'!E148+D148-E148</f>
        <v>143</v>
      </c>
      <c r="G148" s="39">
        <f>'02_Demand_Unconstraining'!R148</f>
        <v>1.8</v>
      </c>
      <c r="H148" s="30">
        <f>'02_Demand_Unconstraining'!S148</f>
        <v>1.556</v>
      </c>
      <c r="I148" s="29">
        <f>_xlfn.XLOOKUP($A148,tbl_Catalog[sku_id],tbl_Catalog[z_score])</f>
        <v>1.282</v>
      </c>
      <c r="J148" s="41">
        <f t="shared" si="28"/>
        <v>29</v>
      </c>
      <c r="K148" s="41">
        <f>'03_FBA_Nivel1_Transfer'!N148</f>
        <v>6</v>
      </c>
      <c r="L148" s="41">
        <f t="shared" si="29"/>
        <v>170</v>
      </c>
      <c r="M148" s="44">
        <f t="shared" si="30"/>
        <v>251</v>
      </c>
      <c r="N148" s="41">
        <f>_xlfn.CEILING.MATH(_xlfn.XLOOKUP($A148,tbl_Catalog[sku_id],tbl_Catalog[sku_moq_units])/_xlfn.XLOOKUP($A148,tbl_Catalog[sku_id],tbl_Catalog[master_carton_qty]),1)</f>
        <v>6</v>
      </c>
      <c r="O148" s="31">
        <f t="shared" si="31"/>
        <v>-15</v>
      </c>
      <c r="P148" s="48">
        <f>_xlfn.LET(_xlpm.ip_sys,$F148,_xlpm.rop_sys,$L148,_xlpm.s_max,$M148,_xlpm.m_qty,_xlfn.XLOOKUP($A148,tbl_Catalog[sku_id],tbl_Catalog[master_carton_qty]),_xlpm.moq,_xlfn.XLOOKUP($A148,tbl_Catalog[sku_id],tbl_Catalog[sku_moq_units]),IF(_xlpm.ip_sys&lt;=_xlpm.rop_sys,_xlfn.CEILING.MATH(MAX(_xlpm.s_max-_xlpm.ip_sys,_xlpm.moq),_xlpm.m_qty),0))</f>
        <v>300</v>
      </c>
      <c r="Q148" s="30">
        <f>IF(P148&gt;0,(P148/_xlfn.XLOOKUP($A148,tbl_Catalog[sku_id],tbl_Catalog[master_carton_qty]))*_xlfn.XLOOKUP($A148,tbl_Catalog[sku_id],tbl_Catalog[carton_volume_cbm]),0)</f>
        <v>0.59400000000000008</v>
      </c>
      <c r="R148" s="41">
        <v>0</v>
      </c>
      <c r="S148" s="41">
        <v>0</v>
      </c>
      <c r="T148" s="41">
        <f>S148*_xlfn.XLOOKUP($A148,tbl_Catalog[sku_id],tbl_Catalog[master_carton_qty])</f>
        <v>0</v>
      </c>
      <c r="U148" s="46">
        <f t="shared" si="32"/>
        <v>0</v>
      </c>
      <c r="V148" s="41">
        <f>IF(_xlfn.XLOOKUP($A148,tbl_Catalog[sku_id],tbl_Catalog[master_carton_qty])&gt;0,U148/_xlfn.XLOOKUP($A148,tbl_Catalog[sku_id],tbl_Catalog[master_carton_qty]),0)</f>
        <v>0</v>
      </c>
      <c r="W148" s="38">
        <f>V148*_xlfn.XLOOKUP($A148,tbl_Catalog[sku_id],tbl_Catalog[carton_volume_cbm])</f>
        <v>0</v>
      </c>
      <c r="X148" s="4" t="str">
        <f t="shared" si="33"/>
        <v>DEFERRED / NO PO</v>
      </c>
      <c r="Y148" s="4" t="str">
        <f>IF(U148=0,"N/A",IF(AND(MOD(U148,_xlfn.XLOOKUP($A148,tbl_Catalog[sku_id],tbl_Catalog[master_carton_qty]))=0,U148&gt;=_xlfn.XLOOKUP($A148,tbl_Catalog[sku_id],tbl_Catalog[sku_moq_units])),"MOQ OK","CHECK"))</f>
        <v>N/A</v>
      </c>
      <c r="Z148" s="4" t="str">
        <f t="shared" si="34"/>
        <v>N/A</v>
      </c>
      <c r="AA148" s="41">
        <v>300</v>
      </c>
      <c r="AB148" s="41">
        <v>6</v>
      </c>
      <c r="AC148" s="4" t="b">
        <v>0</v>
      </c>
    </row>
    <row r="149" spans="1:29" x14ac:dyDescent="0.3">
      <c r="A149" s="36" t="s">
        <v>633</v>
      </c>
      <c r="B149" s="16" t="s">
        <v>592</v>
      </c>
      <c r="C149" s="4" t="s">
        <v>179</v>
      </c>
      <c r="D149" s="41">
        <v>0</v>
      </c>
      <c r="E149" s="41">
        <v>0</v>
      </c>
      <c r="F149" s="42">
        <f>'03_FBA_Nivel1_Transfer'!E149+D149-E149</f>
        <v>54</v>
      </c>
      <c r="G149" s="39">
        <f>'02_Demand_Unconstraining'!R149</f>
        <v>5.2474999999999996</v>
      </c>
      <c r="H149" s="30">
        <f>'02_Demand_Unconstraining'!S149</f>
        <v>2.5352000000000001</v>
      </c>
      <c r="I149" s="29">
        <f>_xlfn.XLOOKUP($A149,tbl_Catalog[sku_id],tbl_Catalog[z_score])</f>
        <v>1.645</v>
      </c>
      <c r="J149" s="41">
        <f t="shared" si="28"/>
        <v>94</v>
      </c>
      <c r="K149" s="41">
        <f>'03_FBA_Nivel1_Transfer'!N149</f>
        <v>16</v>
      </c>
      <c r="L149" s="41">
        <f t="shared" si="29"/>
        <v>504</v>
      </c>
      <c r="M149" s="44">
        <f t="shared" si="30"/>
        <v>740</v>
      </c>
      <c r="N149" s="41">
        <f>_xlfn.CEILING.MATH(_xlfn.XLOOKUP($A149,tbl_Catalog[sku_id],tbl_Catalog[sku_moq_units])/_xlfn.XLOOKUP($A149,tbl_Catalog[sku_id],tbl_Catalog[master_carton_qty]),1)</f>
        <v>6</v>
      </c>
      <c r="O149" s="31">
        <f t="shared" si="31"/>
        <v>-85.755121486422112</v>
      </c>
      <c r="P149" s="48">
        <f>_xlfn.LET(_xlpm.ip_sys,$F149,_xlpm.rop_sys,$L149,_xlpm.s_max,$M149,_xlpm.m_qty,_xlfn.XLOOKUP($A149,tbl_Catalog[sku_id],tbl_Catalog[master_carton_qty]),_xlpm.moq,_xlfn.XLOOKUP($A149,tbl_Catalog[sku_id],tbl_Catalog[sku_moq_units]),IF(_xlpm.ip_sys&lt;=_xlpm.rop_sys,_xlfn.CEILING.MATH(MAX(_xlpm.s_max-_xlpm.ip_sys,_xlpm.moq),_xlpm.m_qty),0))</f>
        <v>700</v>
      </c>
      <c r="Q149" s="30">
        <f>IF(P149&gt;0,(P149/_xlfn.XLOOKUP($A149,tbl_Catalog[sku_id],tbl_Catalog[master_carton_qty]))*_xlfn.XLOOKUP($A149,tbl_Catalog[sku_id],tbl_Catalog[carton_volume_cbm]),0)</f>
        <v>1.3860000000000001</v>
      </c>
      <c r="R149" s="41">
        <v>0</v>
      </c>
      <c r="S149" s="41">
        <v>0</v>
      </c>
      <c r="T149" s="41">
        <f>S149*_xlfn.XLOOKUP($A149,tbl_Catalog[sku_id],tbl_Catalog[master_carton_qty])</f>
        <v>0</v>
      </c>
      <c r="U149" s="46">
        <f t="shared" si="32"/>
        <v>0</v>
      </c>
      <c r="V149" s="41">
        <f>IF(_xlfn.XLOOKUP($A149,tbl_Catalog[sku_id],tbl_Catalog[master_carton_qty])&gt;0,U149/_xlfn.XLOOKUP($A149,tbl_Catalog[sku_id],tbl_Catalog[master_carton_qty]),0)</f>
        <v>0</v>
      </c>
      <c r="W149" s="38">
        <f>V149*_xlfn.XLOOKUP($A149,tbl_Catalog[sku_id],tbl_Catalog[carton_volume_cbm])</f>
        <v>0</v>
      </c>
      <c r="X149" s="4" t="str">
        <f t="shared" si="33"/>
        <v>DEFERRED / NO PO</v>
      </c>
      <c r="Y149" s="4" t="str">
        <f>IF(U149=0,"N/A",IF(AND(MOD(U149,_xlfn.XLOOKUP($A149,tbl_Catalog[sku_id],tbl_Catalog[master_carton_qty]))=0,U149&gt;=_xlfn.XLOOKUP($A149,tbl_Catalog[sku_id],tbl_Catalog[sku_moq_units])),"MOQ OK","CHECK"))</f>
        <v>N/A</v>
      </c>
      <c r="Z149" s="4" t="str">
        <f t="shared" si="34"/>
        <v>N/A</v>
      </c>
      <c r="AA149" s="41">
        <v>300</v>
      </c>
      <c r="AB149" s="41">
        <v>13</v>
      </c>
      <c r="AC149" s="4" t="b">
        <v>0</v>
      </c>
    </row>
    <row r="150" spans="1:29" x14ac:dyDescent="0.3">
      <c r="A150" s="36" t="s">
        <v>636</v>
      </c>
      <c r="B150" s="16" t="s">
        <v>592</v>
      </c>
      <c r="C150" s="4" t="s">
        <v>188</v>
      </c>
      <c r="D150" s="41">
        <v>298</v>
      </c>
      <c r="E150" s="41">
        <v>0</v>
      </c>
      <c r="F150" s="42">
        <f>'03_FBA_Nivel1_Transfer'!E150+D150-E150</f>
        <v>298</v>
      </c>
      <c r="G150" s="39">
        <f>'02_Demand_Unconstraining'!R150</f>
        <v>1.5831999999999999</v>
      </c>
      <c r="H150" s="30">
        <f>'02_Demand_Unconstraining'!S150</f>
        <v>1.5628</v>
      </c>
      <c r="I150" s="29">
        <f>_xlfn.XLOOKUP($A150,tbl_Catalog[sku_id],tbl_Catalog[z_score])</f>
        <v>1.282</v>
      </c>
      <c r="J150" s="41">
        <f t="shared" si="28"/>
        <v>27</v>
      </c>
      <c r="K150" s="41">
        <f>'03_FBA_Nivel1_Transfer'!N150</f>
        <v>5</v>
      </c>
      <c r="L150" s="41">
        <f t="shared" si="29"/>
        <v>151</v>
      </c>
      <c r="M150" s="44">
        <f t="shared" si="30"/>
        <v>222</v>
      </c>
      <c r="N150" s="41">
        <f>_xlfn.CEILING.MATH(_xlfn.XLOOKUP($A150,tbl_Catalog[sku_id],tbl_Catalog[sku_moq_units])/_xlfn.XLOOKUP($A150,tbl_Catalog[sku_id],tbl_Catalog[master_carton_qty]),1)</f>
        <v>6</v>
      </c>
      <c r="O150" s="31">
        <f t="shared" si="31"/>
        <v>92.849924204143505</v>
      </c>
      <c r="P150" s="48">
        <f>_xlfn.LET(_xlpm.ip_sys,$F150,_xlpm.rop_sys,$L150,_xlpm.s_max,$M150,_xlpm.m_qty,_xlfn.XLOOKUP($A150,tbl_Catalog[sku_id],tbl_Catalog[master_carton_qty]),_xlpm.moq,_xlfn.XLOOKUP($A150,tbl_Catalog[sku_id],tbl_Catalog[sku_moq_units]),IF(_xlpm.ip_sys&lt;=_xlpm.rop_sys,_xlfn.CEILING.MATH(MAX(_xlpm.s_max-_xlpm.ip_sys,_xlpm.moq),_xlpm.m_qty),0))</f>
        <v>0</v>
      </c>
      <c r="Q150" s="30">
        <f>IF(P150&gt;0,(P150/_xlfn.XLOOKUP($A150,tbl_Catalog[sku_id],tbl_Catalog[master_carton_qty]))*_xlfn.XLOOKUP($A150,tbl_Catalog[sku_id],tbl_Catalog[carton_volume_cbm]),0)</f>
        <v>0</v>
      </c>
      <c r="R150" s="41">
        <v>0</v>
      </c>
      <c r="S150" s="41">
        <v>0</v>
      </c>
      <c r="T150" s="41">
        <f>S150*_xlfn.XLOOKUP($A150,tbl_Catalog[sku_id],tbl_Catalog[master_carton_qty])</f>
        <v>0</v>
      </c>
      <c r="U150" s="46">
        <f t="shared" si="32"/>
        <v>0</v>
      </c>
      <c r="V150" s="41">
        <f>IF(_xlfn.XLOOKUP($A150,tbl_Catalog[sku_id],tbl_Catalog[master_carton_qty])&gt;0,U150/_xlfn.XLOOKUP($A150,tbl_Catalog[sku_id],tbl_Catalog[master_carton_qty]),0)</f>
        <v>0</v>
      </c>
      <c r="W150" s="38">
        <f>V150*_xlfn.XLOOKUP($A150,tbl_Catalog[sku_id],tbl_Catalog[carton_volume_cbm])</f>
        <v>0</v>
      </c>
      <c r="X150" s="4" t="str">
        <f t="shared" si="33"/>
        <v>DEFERRED / NO PO</v>
      </c>
      <c r="Y150" s="4" t="str">
        <f>IF(U150=0,"N/A",IF(AND(MOD(U150,_xlfn.XLOOKUP($A150,tbl_Catalog[sku_id],tbl_Catalog[master_carton_qty]))=0,U150&gt;=_xlfn.XLOOKUP($A150,tbl_Catalog[sku_id],tbl_Catalog[sku_moq_units])),"MOQ OK","CHECK"))</f>
        <v>N/A</v>
      </c>
      <c r="Z150" s="4" t="str">
        <f t="shared" si="34"/>
        <v>N/A</v>
      </c>
      <c r="AA150" s="41">
        <v>0</v>
      </c>
      <c r="AB150" s="41">
        <v>0</v>
      </c>
      <c r="AC150" s="4" t="b">
        <v>0</v>
      </c>
    </row>
    <row r="151" spans="1:29" x14ac:dyDescent="0.3">
      <c r="A151" s="36" t="s">
        <v>639</v>
      </c>
      <c r="B151" s="16" t="s">
        <v>592</v>
      </c>
      <c r="C151" s="4" t="s">
        <v>188</v>
      </c>
      <c r="D151" s="41">
        <v>71</v>
      </c>
      <c r="E151" s="41">
        <v>0</v>
      </c>
      <c r="F151" s="42">
        <f>'03_FBA_Nivel1_Transfer'!E151+D151-E151</f>
        <v>142</v>
      </c>
      <c r="G151" s="39">
        <f>'02_Demand_Unconstraining'!R151</f>
        <v>2.4</v>
      </c>
      <c r="H151" s="30">
        <f>'02_Demand_Unconstraining'!S151</f>
        <v>2.2946</v>
      </c>
      <c r="I151" s="29">
        <f>_xlfn.XLOOKUP($A151,tbl_Catalog[sku_id],tbl_Catalog[z_score])</f>
        <v>1.282</v>
      </c>
      <c r="J151" s="41">
        <f t="shared" si="28"/>
        <v>40</v>
      </c>
      <c r="K151" s="41">
        <f>'03_FBA_Nivel1_Transfer'!N151</f>
        <v>10</v>
      </c>
      <c r="L151" s="41">
        <f t="shared" si="29"/>
        <v>230</v>
      </c>
      <c r="M151" s="44">
        <f t="shared" si="30"/>
        <v>338</v>
      </c>
      <c r="N151" s="41">
        <f>_xlfn.CEILING.MATH(_xlfn.XLOOKUP($A151,tbl_Catalog[sku_id],tbl_Catalog[sku_moq_units])/_xlfn.XLOOKUP($A151,tbl_Catalog[sku_id],tbl_Catalog[master_carton_qty]),1)</f>
        <v>6</v>
      </c>
      <c r="O151" s="31">
        <f t="shared" si="31"/>
        <v>-36.666666666666671</v>
      </c>
      <c r="P151" s="48">
        <f>_xlfn.LET(_xlpm.ip_sys,$F151,_xlpm.rop_sys,$L151,_xlpm.s_max,$M151,_xlpm.m_qty,_xlfn.XLOOKUP($A151,tbl_Catalog[sku_id],tbl_Catalog[master_carton_qty]),_xlpm.moq,_xlfn.XLOOKUP($A151,tbl_Catalog[sku_id],tbl_Catalog[sku_moq_units]),IF(_xlpm.ip_sys&lt;=_xlpm.rop_sys,_xlfn.CEILING.MATH(MAX(_xlpm.s_max-_xlpm.ip_sys,_xlpm.moq),_xlpm.m_qty),0))</f>
        <v>300</v>
      </c>
      <c r="Q151" s="30">
        <f>IF(P151&gt;0,(P151/_xlfn.XLOOKUP($A151,tbl_Catalog[sku_id],tbl_Catalog[master_carton_qty]))*_xlfn.XLOOKUP($A151,tbl_Catalog[sku_id],tbl_Catalog[carton_volume_cbm]),0)</f>
        <v>0.59400000000000008</v>
      </c>
      <c r="R151" s="41">
        <v>0</v>
      </c>
      <c r="S151" s="41">
        <v>0</v>
      </c>
      <c r="T151" s="41">
        <f>S151*_xlfn.XLOOKUP($A151,tbl_Catalog[sku_id],tbl_Catalog[master_carton_qty])</f>
        <v>0</v>
      </c>
      <c r="U151" s="46">
        <f t="shared" si="32"/>
        <v>0</v>
      </c>
      <c r="V151" s="41">
        <f>IF(_xlfn.XLOOKUP($A151,tbl_Catalog[sku_id],tbl_Catalog[master_carton_qty])&gt;0,U151/_xlfn.XLOOKUP($A151,tbl_Catalog[sku_id],tbl_Catalog[master_carton_qty]),0)</f>
        <v>0</v>
      </c>
      <c r="W151" s="38">
        <f>V151*_xlfn.XLOOKUP($A151,tbl_Catalog[sku_id],tbl_Catalog[carton_volume_cbm])</f>
        <v>0</v>
      </c>
      <c r="X151" s="4" t="str">
        <f t="shared" si="33"/>
        <v>DEFERRED / NO PO</v>
      </c>
      <c r="Y151" s="4" t="str">
        <f>IF(U151=0,"N/A",IF(AND(MOD(U151,_xlfn.XLOOKUP($A151,tbl_Catalog[sku_id],tbl_Catalog[master_carton_qty]))=0,U151&gt;=_xlfn.XLOOKUP($A151,tbl_Catalog[sku_id],tbl_Catalog[sku_moq_units])),"MOQ OK","CHECK"))</f>
        <v>N/A</v>
      </c>
      <c r="Z151" s="4" t="str">
        <f t="shared" si="34"/>
        <v>N/A</v>
      </c>
      <c r="AA151" s="41">
        <v>300</v>
      </c>
      <c r="AB151" s="41">
        <v>6</v>
      </c>
      <c r="AC151" s="4" t="b">
        <v>0</v>
      </c>
    </row>
    <row r="152" spans="1:29" x14ac:dyDescent="0.3">
      <c r="A152" s="36" t="s">
        <v>642</v>
      </c>
      <c r="B152" s="16" t="s">
        <v>592</v>
      </c>
      <c r="C152" s="4" t="s">
        <v>188</v>
      </c>
      <c r="D152" s="41">
        <v>67</v>
      </c>
      <c r="E152" s="41">
        <v>0</v>
      </c>
      <c r="F152" s="42">
        <f>'03_FBA_Nivel1_Transfer'!E152+D152-E152</f>
        <v>236</v>
      </c>
      <c r="G152" s="39">
        <f>'02_Demand_Unconstraining'!R152</f>
        <v>1.2334000000000001</v>
      </c>
      <c r="H152" s="30">
        <f>'02_Demand_Unconstraining'!S152</f>
        <v>1.1812</v>
      </c>
      <c r="I152" s="29">
        <f>_xlfn.XLOOKUP($A152,tbl_Catalog[sku_id],tbl_Catalog[z_score])</f>
        <v>1.282</v>
      </c>
      <c r="J152" s="41">
        <f t="shared" si="28"/>
        <v>21</v>
      </c>
      <c r="K152" s="41">
        <f>'03_FBA_Nivel1_Transfer'!N152</f>
        <v>6</v>
      </c>
      <c r="L152" s="41">
        <f t="shared" si="29"/>
        <v>120</v>
      </c>
      <c r="M152" s="44">
        <f t="shared" si="30"/>
        <v>176</v>
      </c>
      <c r="N152" s="41">
        <f>_xlfn.CEILING.MATH(_xlfn.XLOOKUP($A152,tbl_Catalog[sku_id],tbl_Catalog[sku_moq_units])/_xlfn.XLOOKUP($A152,tbl_Catalog[sku_id],tbl_Catalog[master_carton_qty]),1)</f>
        <v>6</v>
      </c>
      <c r="O152" s="31">
        <f t="shared" si="31"/>
        <v>94.048970325928323</v>
      </c>
      <c r="P152" s="48">
        <f>_xlfn.LET(_xlpm.ip_sys,$F152,_xlpm.rop_sys,$L152,_xlpm.s_max,$M152,_xlpm.m_qty,_xlfn.XLOOKUP($A152,tbl_Catalog[sku_id],tbl_Catalog[master_carton_qty]),_xlpm.moq,_xlfn.XLOOKUP($A152,tbl_Catalog[sku_id],tbl_Catalog[sku_moq_units]),IF(_xlpm.ip_sys&lt;=_xlpm.rop_sys,_xlfn.CEILING.MATH(MAX(_xlpm.s_max-_xlpm.ip_sys,_xlpm.moq),_xlpm.m_qty),0))</f>
        <v>0</v>
      </c>
      <c r="Q152" s="30">
        <f>IF(P152&gt;0,(P152/_xlfn.XLOOKUP($A152,tbl_Catalog[sku_id],tbl_Catalog[master_carton_qty]))*_xlfn.XLOOKUP($A152,tbl_Catalog[sku_id],tbl_Catalog[carton_volume_cbm]),0)</f>
        <v>0</v>
      </c>
      <c r="R152" s="41">
        <v>0</v>
      </c>
      <c r="S152" s="41">
        <v>0</v>
      </c>
      <c r="T152" s="41">
        <f>S152*_xlfn.XLOOKUP($A152,tbl_Catalog[sku_id],tbl_Catalog[master_carton_qty])</f>
        <v>0</v>
      </c>
      <c r="U152" s="46">
        <f t="shared" si="32"/>
        <v>0</v>
      </c>
      <c r="V152" s="41">
        <f>IF(_xlfn.XLOOKUP($A152,tbl_Catalog[sku_id],tbl_Catalog[master_carton_qty])&gt;0,U152/_xlfn.XLOOKUP($A152,tbl_Catalog[sku_id],tbl_Catalog[master_carton_qty]),0)</f>
        <v>0</v>
      </c>
      <c r="W152" s="38">
        <f>V152*_xlfn.XLOOKUP($A152,tbl_Catalog[sku_id],tbl_Catalog[carton_volume_cbm])</f>
        <v>0</v>
      </c>
      <c r="X152" s="4" t="str">
        <f t="shared" si="33"/>
        <v>DEFERRED / NO PO</v>
      </c>
      <c r="Y152" s="4" t="str">
        <f>IF(U152=0,"N/A",IF(AND(MOD(U152,_xlfn.XLOOKUP($A152,tbl_Catalog[sku_id],tbl_Catalog[master_carton_qty]))=0,U152&gt;=_xlfn.XLOOKUP($A152,tbl_Catalog[sku_id],tbl_Catalog[sku_moq_units])),"MOQ OK","CHECK"))</f>
        <v>N/A</v>
      </c>
      <c r="Z152" s="4" t="str">
        <f t="shared" si="34"/>
        <v>N/A</v>
      </c>
      <c r="AA152" s="41">
        <v>0</v>
      </c>
      <c r="AB152" s="41">
        <v>0</v>
      </c>
      <c r="AC152" s="4" t="b">
        <v>0</v>
      </c>
    </row>
    <row r="153" spans="1:29" x14ac:dyDescent="0.3">
      <c r="A153" s="36" t="s">
        <v>645</v>
      </c>
      <c r="B153" s="16" t="s">
        <v>646</v>
      </c>
      <c r="C153" s="4" t="s">
        <v>184</v>
      </c>
      <c r="D153" s="41">
        <v>575</v>
      </c>
      <c r="E153" s="41">
        <v>0</v>
      </c>
      <c r="F153" s="42">
        <f>'03_FBA_Nivel1_Transfer'!E153+D153-E153</f>
        <v>727</v>
      </c>
      <c r="G153" s="39">
        <f>'02_Demand_Unconstraining'!R153</f>
        <v>8.4</v>
      </c>
      <c r="H153" s="30">
        <f>'02_Demand_Unconstraining'!S153</f>
        <v>2.9832999999999998</v>
      </c>
      <c r="I153" s="29">
        <f>_xlfn.XLOOKUP($A153,tbl_Catalog[sku_id],tbl_Catalog[z_score])</f>
        <v>1.645</v>
      </c>
      <c r="J153" s="41">
        <f t="shared" si="28"/>
        <v>145</v>
      </c>
      <c r="K153" s="41">
        <f>'03_FBA_Nivel1_Transfer'!N153</f>
        <v>122</v>
      </c>
      <c r="L153" s="41">
        <f t="shared" si="29"/>
        <v>897</v>
      </c>
      <c r="M153" s="44">
        <f t="shared" si="30"/>
        <v>1275</v>
      </c>
      <c r="N153" s="41">
        <f>_xlfn.CEILING.MATH(_xlfn.XLOOKUP($A153,tbl_Catalog[sku_id],tbl_Catalog[sku_moq_units])/_xlfn.XLOOKUP($A153,tbl_Catalog[sku_id],tbl_Catalog[master_carton_qty]),1)</f>
        <v>10</v>
      </c>
      <c r="O153" s="31">
        <f t="shared" si="31"/>
        <v>-20.238095238095237</v>
      </c>
      <c r="P153" s="48">
        <f>_xlfn.LET(_xlpm.ip_sys,$F153,_xlpm.rop_sys,$L153,_xlpm.s_max,$M153,_xlpm.m_qty,_xlfn.XLOOKUP($A153,tbl_Catalog[sku_id],tbl_Catalog[master_carton_qty]),_xlpm.moq,_xlfn.XLOOKUP($A153,tbl_Catalog[sku_id],tbl_Catalog[sku_moq_units]),IF(_xlpm.ip_sys&lt;=_xlpm.rop_sys,_xlfn.CEILING.MATH(MAX(_xlpm.s_max-_xlpm.ip_sys,_xlpm.moq),_xlpm.m_qty),0))</f>
        <v>550</v>
      </c>
      <c r="Q153" s="30">
        <f>IF(P153&gt;0,(P153/_xlfn.XLOOKUP($A153,tbl_Catalog[sku_id],tbl_Catalog[master_carton_qty]))*_xlfn.XLOOKUP($A153,tbl_Catalog[sku_id],tbl_Catalog[carton_volume_cbm]),0)</f>
        <v>0.92400000000000004</v>
      </c>
      <c r="R153" s="41">
        <v>0</v>
      </c>
      <c r="S153" s="41">
        <v>0</v>
      </c>
      <c r="T153" s="41">
        <f>S153*_xlfn.XLOOKUP($A153,tbl_Catalog[sku_id],tbl_Catalog[master_carton_qty])</f>
        <v>0</v>
      </c>
      <c r="U153" s="46">
        <f t="shared" si="32"/>
        <v>0</v>
      </c>
      <c r="V153" s="41">
        <f>IF(_xlfn.XLOOKUP($A153,tbl_Catalog[sku_id],tbl_Catalog[master_carton_qty])&gt;0,U153/_xlfn.XLOOKUP($A153,tbl_Catalog[sku_id],tbl_Catalog[master_carton_qty]),0)</f>
        <v>0</v>
      </c>
      <c r="W153" s="38">
        <f>V153*_xlfn.XLOOKUP($A153,tbl_Catalog[sku_id],tbl_Catalog[carton_volume_cbm])</f>
        <v>0</v>
      </c>
      <c r="X153" s="4" t="str">
        <f t="shared" si="33"/>
        <v>DEFERRED / NO PO</v>
      </c>
      <c r="Y153" s="4" t="str">
        <f>IF(U153=0,"N/A",IF(AND(MOD(U153,_xlfn.XLOOKUP($A153,tbl_Catalog[sku_id],tbl_Catalog[master_carton_qty]))=0,U153&gt;=_xlfn.XLOOKUP($A153,tbl_Catalog[sku_id],tbl_Catalog[sku_moq_units])),"MOQ OK","CHECK"))</f>
        <v>N/A</v>
      </c>
      <c r="Z153" s="4" t="str">
        <f t="shared" si="34"/>
        <v>N/A</v>
      </c>
      <c r="AA153" s="41">
        <v>0</v>
      </c>
      <c r="AB153" s="41">
        <v>10</v>
      </c>
      <c r="AC153" s="4" t="b">
        <v>0</v>
      </c>
    </row>
    <row r="154" spans="1:29" x14ac:dyDescent="0.3">
      <c r="A154" s="36" t="s">
        <v>651</v>
      </c>
      <c r="B154" s="16" t="s">
        <v>646</v>
      </c>
      <c r="C154" s="4" t="s">
        <v>184</v>
      </c>
      <c r="D154" s="41">
        <v>337</v>
      </c>
      <c r="E154" s="41">
        <v>0</v>
      </c>
      <c r="F154" s="42">
        <f>'03_FBA_Nivel1_Transfer'!E154+D154-E154</f>
        <v>531</v>
      </c>
      <c r="G154" s="39">
        <f>'02_Demand_Unconstraining'!R154</f>
        <v>5.2724000000000002</v>
      </c>
      <c r="H154" s="30">
        <f>'02_Demand_Unconstraining'!S154</f>
        <v>1.8655999999999999</v>
      </c>
      <c r="I154" s="29">
        <f>_xlfn.XLOOKUP($A154,tbl_Catalog[sku_id],tbl_Catalog[z_score])</f>
        <v>1.645</v>
      </c>
      <c r="J154" s="41">
        <f t="shared" si="28"/>
        <v>91</v>
      </c>
      <c r="K154" s="41">
        <f>'03_FBA_Nivel1_Transfer'!N154</f>
        <v>15</v>
      </c>
      <c r="L154" s="41">
        <f t="shared" si="29"/>
        <v>502</v>
      </c>
      <c r="M154" s="44">
        <f t="shared" si="30"/>
        <v>739</v>
      </c>
      <c r="N154" s="41">
        <f>_xlfn.CEILING.MATH(_xlfn.XLOOKUP($A154,tbl_Catalog[sku_id],tbl_Catalog[sku_moq_units])/_xlfn.XLOOKUP($A154,tbl_Catalog[sku_id],tbl_Catalog[master_carton_qty]),1)</f>
        <v>10</v>
      </c>
      <c r="O154" s="31">
        <f t="shared" si="31"/>
        <v>5.5003414005007203</v>
      </c>
      <c r="P154" s="48">
        <f>_xlfn.LET(_xlpm.ip_sys,$F154,_xlpm.rop_sys,$L154,_xlpm.s_max,$M154,_xlpm.m_qty,_xlfn.XLOOKUP($A154,tbl_Catalog[sku_id],tbl_Catalog[master_carton_qty]),_xlpm.moq,_xlfn.XLOOKUP($A154,tbl_Catalog[sku_id],tbl_Catalog[sku_moq_units]),IF(_xlpm.ip_sys&lt;=_xlpm.rop_sys,_xlfn.CEILING.MATH(MAX(_xlpm.s_max-_xlpm.ip_sys,_xlpm.moq),_xlpm.m_qty),0))</f>
        <v>0</v>
      </c>
      <c r="Q154" s="30">
        <f>IF(P154&gt;0,(P154/_xlfn.XLOOKUP($A154,tbl_Catalog[sku_id],tbl_Catalog[master_carton_qty]))*_xlfn.XLOOKUP($A154,tbl_Catalog[sku_id],tbl_Catalog[carton_volume_cbm]),0)</f>
        <v>0</v>
      </c>
      <c r="R154" s="41">
        <v>0</v>
      </c>
      <c r="S154" s="41">
        <v>0</v>
      </c>
      <c r="T154" s="41">
        <f>S154*_xlfn.XLOOKUP($A154,tbl_Catalog[sku_id],tbl_Catalog[master_carton_qty])</f>
        <v>0</v>
      </c>
      <c r="U154" s="46">
        <f t="shared" si="32"/>
        <v>0</v>
      </c>
      <c r="V154" s="41">
        <f>IF(_xlfn.XLOOKUP($A154,tbl_Catalog[sku_id],tbl_Catalog[master_carton_qty])&gt;0,U154/_xlfn.XLOOKUP($A154,tbl_Catalog[sku_id],tbl_Catalog[master_carton_qty]),0)</f>
        <v>0</v>
      </c>
      <c r="W154" s="38">
        <f>V154*_xlfn.XLOOKUP($A154,tbl_Catalog[sku_id],tbl_Catalog[carton_volume_cbm])</f>
        <v>0</v>
      </c>
      <c r="X154" s="4" t="str">
        <f t="shared" si="33"/>
        <v>DEFERRED / NO PO</v>
      </c>
      <c r="Y154" s="4" t="str">
        <f>IF(U154=0,"N/A",IF(AND(MOD(U154,_xlfn.XLOOKUP($A154,tbl_Catalog[sku_id],tbl_Catalog[master_carton_qty]))=0,U154&gt;=_xlfn.XLOOKUP($A154,tbl_Catalog[sku_id],tbl_Catalog[sku_moq_units])),"MOQ OK","CHECK"))</f>
        <v>N/A</v>
      </c>
      <c r="Z154" s="4" t="str">
        <f t="shared" si="34"/>
        <v>N/A</v>
      </c>
      <c r="AA154" s="41">
        <v>0</v>
      </c>
      <c r="AB154" s="41">
        <v>0</v>
      </c>
      <c r="AC154" s="4" t="b">
        <v>0</v>
      </c>
    </row>
    <row r="155" spans="1:29" x14ac:dyDescent="0.3">
      <c r="A155" s="36" t="s">
        <v>654</v>
      </c>
      <c r="B155" s="16" t="s">
        <v>646</v>
      </c>
      <c r="C155" s="4" t="s">
        <v>188</v>
      </c>
      <c r="D155" s="41">
        <v>190</v>
      </c>
      <c r="E155" s="41">
        <v>0</v>
      </c>
      <c r="F155" s="42">
        <f>'03_FBA_Nivel1_Transfer'!E155+D155-E155</f>
        <v>242</v>
      </c>
      <c r="G155" s="39">
        <f>'02_Demand_Unconstraining'!R155</f>
        <v>2.1667000000000001</v>
      </c>
      <c r="H155" s="30">
        <f>'02_Demand_Unconstraining'!S155</f>
        <v>1.8636999999999999</v>
      </c>
      <c r="I155" s="29">
        <f>_xlfn.XLOOKUP($A155,tbl_Catalog[sku_id],tbl_Catalog[z_score])</f>
        <v>1.282</v>
      </c>
      <c r="J155" s="41">
        <f t="shared" si="28"/>
        <v>35</v>
      </c>
      <c r="K155" s="41">
        <f>'03_FBA_Nivel1_Transfer'!N155</f>
        <v>7</v>
      </c>
      <c r="L155" s="41">
        <f t="shared" si="29"/>
        <v>205</v>
      </c>
      <c r="M155" s="44">
        <f t="shared" si="30"/>
        <v>303</v>
      </c>
      <c r="N155" s="41">
        <f>_xlfn.CEILING.MATH(_xlfn.XLOOKUP($A155,tbl_Catalog[sku_id],tbl_Catalog[sku_moq_units])/_xlfn.XLOOKUP($A155,tbl_Catalog[sku_id],tbl_Catalog[master_carton_qty]),1)</f>
        <v>10</v>
      </c>
      <c r="O155" s="31">
        <f t="shared" si="31"/>
        <v>17.076660359071397</v>
      </c>
      <c r="P155" s="48">
        <f>_xlfn.LET(_xlpm.ip_sys,$F155,_xlpm.rop_sys,$L155,_xlpm.s_max,$M155,_xlpm.m_qty,_xlfn.XLOOKUP($A155,tbl_Catalog[sku_id],tbl_Catalog[master_carton_qty]),_xlpm.moq,_xlfn.XLOOKUP($A155,tbl_Catalog[sku_id],tbl_Catalog[sku_moq_units]),IF(_xlpm.ip_sys&lt;=_xlpm.rop_sys,_xlfn.CEILING.MATH(MAX(_xlpm.s_max-_xlpm.ip_sys,_xlpm.moq),_xlpm.m_qty),0))</f>
        <v>0</v>
      </c>
      <c r="Q155" s="30">
        <f>IF(P155&gt;0,(P155/_xlfn.XLOOKUP($A155,tbl_Catalog[sku_id],tbl_Catalog[master_carton_qty]))*_xlfn.XLOOKUP($A155,tbl_Catalog[sku_id],tbl_Catalog[carton_volume_cbm]),0)</f>
        <v>0</v>
      </c>
      <c r="R155" s="41">
        <v>0</v>
      </c>
      <c r="S155" s="41">
        <v>0</v>
      </c>
      <c r="T155" s="41">
        <f>S155*_xlfn.XLOOKUP($A155,tbl_Catalog[sku_id],tbl_Catalog[master_carton_qty])</f>
        <v>0</v>
      </c>
      <c r="U155" s="46">
        <f t="shared" si="32"/>
        <v>0</v>
      </c>
      <c r="V155" s="41">
        <f>IF(_xlfn.XLOOKUP($A155,tbl_Catalog[sku_id],tbl_Catalog[master_carton_qty])&gt;0,U155/_xlfn.XLOOKUP($A155,tbl_Catalog[sku_id],tbl_Catalog[master_carton_qty]),0)</f>
        <v>0</v>
      </c>
      <c r="W155" s="38">
        <f>V155*_xlfn.XLOOKUP($A155,tbl_Catalog[sku_id],tbl_Catalog[carton_volume_cbm])</f>
        <v>0</v>
      </c>
      <c r="X155" s="4" t="str">
        <f t="shared" si="33"/>
        <v>DEFERRED / NO PO</v>
      </c>
      <c r="Y155" s="4" t="str">
        <f>IF(U155=0,"N/A",IF(AND(MOD(U155,_xlfn.XLOOKUP($A155,tbl_Catalog[sku_id],tbl_Catalog[master_carton_qty]))=0,U155&gt;=_xlfn.XLOOKUP($A155,tbl_Catalog[sku_id],tbl_Catalog[sku_moq_units])),"MOQ OK","CHECK"))</f>
        <v>N/A</v>
      </c>
      <c r="Z155" s="4" t="str">
        <f t="shared" si="34"/>
        <v>N/A</v>
      </c>
      <c r="AA155" s="41">
        <v>0</v>
      </c>
      <c r="AB155" s="41">
        <v>0</v>
      </c>
      <c r="AC155" s="4" t="b">
        <v>0</v>
      </c>
    </row>
    <row r="156" spans="1:29" x14ac:dyDescent="0.3">
      <c r="A156" s="36" t="s">
        <v>657</v>
      </c>
      <c r="B156" s="16" t="s">
        <v>646</v>
      </c>
      <c r="C156" s="4" t="s">
        <v>188</v>
      </c>
      <c r="D156" s="41">
        <v>215</v>
      </c>
      <c r="E156" s="41">
        <v>0</v>
      </c>
      <c r="F156" s="42">
        <f>'03_FBA_Nivel1_Transfer'!E156+D156-E156</f>
        <v>252</v>
      </c>
      <c r="G156" s="39">
        <f>'02_Demand_Unconstraining'!R156</f>
        <v>2.0666000000000002</v>
      </c>
      <c r="H156" s="30">
        <f>'02_Demand_Unconstraining'!S156</f>
        <v>2.0543</v>
      </c>
      <c r="I156" s="29">
        <f>_xlfn.XLOOKUP($A156,tbl_Catalog[sku_id],tbl_Catalog[z_score])</f>
        <v>1.282</v>
      </c>
      <c r="J156" s="41">
        <f t="shared" si="28"/>
        <v>35</v>
      </c>
      <c r="K156" s="41">
        <f>'03_FBA_Nivel1_Transfer'!N156</f>
        <v>6</v>
      </c>
      <c r="L156" s="41">
        <f t="shared" si="29"/>
        <v>196</v>
      </c>
      <c r="M156" s="44">
        <f t="shared" si="30"/>
        <v>289</v>
      </c>
      <c r="N156" s="41">
        <f>_xlfn.CEILING.MATH(_xlfn.XLOOKUP($A156,tbl_Catalog[sku_id],tbl_Catalog[sku_moq_units])/_xlfn.XLOOKUP($A156,tbl_Catalog[sku_id],tbl_Catalog[master_carton_qty]),1)</f>
        <v>10</v>
      </c>
      <c r="O156" s="31">
        <f t="shared" si="31"/>
        <v>27.097648311235844</v>
      </c>
      <c r="P156" s="48">
        <f>_xlfn.LET(_xlpm.ip_sys,$F156,_xlpm.rop_sys,$L156,_xlpm.s_max,$M156,_xlpm.m_qty,_xlfn.XLOOKUP($A156,tbl_Catalog[sku_id],tbl_Catalog[master_carton_qty]),_xlpm.moq,_xlfn.XLOOKUP($A156,tbl_Catalog[sku_id],tbl_Catalog[sku_moq_units]),IF(_xlpm.ip_sys&lt;=_xlpm.rop_sys,_xlfn.CEILING.MATH(MAX(_xlpm.s_max-_xlpm.ip_sys,_xlpm.moq),_xlpm.m_qty),0))</f>
        <v>0</v>
      </c>
      <c r="Q156" s="30">
        <f>IF(P156&gt;0,(P156/_xlfn.XLOOKUP($A156,tbl_Catalog[sku_id],tbl_Catalog[master_carton_qty]))*_xlfn.XLOOKUP($A156,tbl_Catalog[sku_id],tbl_Catalog[carton_volume_cbm]),0)</f>
        <v>0</v>
      </c>
      <c r="R156" s="41">
        <v>0</v>
      </c>
      <c r="S156" s="41">
        <v>0</v>
      </c>
      <c r="T156" s="41">
        <f>S156*_xlfn.XLOOKUP($A156,tbl_Catalog[sku_id],tbl_Catalog[master_carton_qty])</f>
        <v>0</v>
      </c>
      <c r="U156" s="46">
        <f t="shared" si="32"/>
        <v>0</v>
      </c>
      <c r="V156" s="41">
        <f>IF(_xlfn.XLOOKUP($A156,tbl_Catalog[sku_id],tbl_Catalog[master_carton_qty])&gt;0,U156/_xlfn.XLOOKUP($A156,tbl_Catalog[sku_id],tbl_Catalog[master_carton_qty]),0)</f>
        <v>0</v>
      </c>
      <c r="W156" s="38">
        <f>V156*_xlfn.XLOOKUP($A156,tbl_Catalog[sku_id],tbl_Catalog[carton_volume_cbm])</f>
        <v>0</v>
      </c>
      <c r="X156" s="4" t="str">
        <f t="shared" si="33"/>
        <v>DEFERRED / NO PO</v>
      </c>
      <c r="Y156" s="4" t="str">
        <f>IF(U156=0,"N/A",IF(AND(MOD(U156,_xlfn.XLOOKUP($A156,tbl_Catalog[sku_id],tbl_Catalog[master_carton_qty]))=0,U156&gt;=_xlfn.XLOOKUP($A156,tbl_Catalog[sku_id],tbl_Catalog[sku_moq_units])),"MOQ OK","CHECK"))</f>
        <v>N/A</v>
      </c>
      <c r="Z156" s="4" t="str">
        <f t="shared" si="34"/>
        <v>N/A</v>
      </c>
      <c r="AA156" s="41">
        <v>0</v>
      </c>
      <c r="AB156" s="41">
        <v>0</v>
      </c>
      <c r="AC156" s="4" t="b">
        <v>0</v>
      </c>
    </row>
    <row r="157" spans="1:29" x14ac:dyDescent="0.3">
      <c r="A157" s="36" t="s">
        <v>660</v>
      </c>
      <c r="B157" s="16" t="s">
        <v>646</v>
      </c>
      <c r="C157" s="4" t="s">
        <v>184</v>
      </c>
      <c r="D157" s="41">
        <v>252</v>
      </c>
      <c r="E157" s="41">
        <v>0</v>
      </c>
      <c r="F157" s="42">
        <f>'03_FBA_Nivel1_Transfer'!E157+D157-E157</f>
        <v>500</v>
      </c>
      <c r="G157" s="39">
        <f>'02_Demand_Unconstraining'!R157</f>
        <v>9.8579000000000008</v>
      </c>
      <c r="H157" s="30">
        <f>'02_Demand_Unconstraining'!S157</f>
        <v>3.4889999999999999</v>
      </c>
      <c r="I157" s="29">
        <f>_xlfn.XLOOKUP($A157,tbl_Catalog[sku_id],tbl_Catalog[z_score])</f>
        <v>1.645</v>
      </c>
      <c r="J157" s="41">
        <f t="shared" si="28"/>
        <v>170</v>
      </c>
      <c r="K157" s="41">
        <f>'03_FBA_Nivel1_Transfer'!N157</f>
        <v>151</v>
      </c>
      <c r="L157" s="41">
        <f t="shared" si="29"/>
        <v>1061</v>
      </c>
      <c r="M157" s="44">
        <f t="shared" si="30"/>
        <v>1504</v>
      </c>
      <c r="N157" s="41">
        <f>_xlfn.CEILING.MATH(_xlfn.XLOOKUP($A157,tbl_Catalog[sku_id],tbl_Catalog[sku_moq_units])/_xlfn.XLOOKUP($A157,tbl_Catalog[sku_id],tbl_Catalog[master_carton_qty]),1)</f>
        <v>10</v>
      </c>
      <c r="O157" s="31">
        <f t="shared" si="31"/>
        <v>-56.908672232422724</v>
      </c>
      <c r="P157" s="48">
        <f>_xlfn.LET(_xlpm.ip_sys,$F157,_xlpm.rop_sys,$L157,_xlpm.s_max,$M157,_xlpm.m_qty,_xlfn.XLOOKUP($A157,tbl_Catalog[sku_id],tbl_Catalog[master_carton_qty]),_xlpm.moq,_xlfn.XLOOKUP($A157,tbl_Catalog[sku_id],tbl_Catalog[sku_moq_units]),IF(_xlpm.ip_sys&lt;=_xlpm.rop_sys,_xlfn.CEILING.MATH(MAX(_xlpm.s_max-_xlpm.ip_sys,_xlpm.moq),_xlpm.m_qty),0))</f>
        <v>1050</v>
      </c>
      <c r="Q157" s="30">
        <f>IF(P157&gt;0,(P157/_xlfn.XLOOKUP($A157,tbl_Catalog[sku_id],tbl_Catalog[master_carton_qty]))*_xlfn.XLOOKUP($A157,tbl_Catalog[sku_id],tbl_Catalog[carton_volume_cbm]),0)</f>
        <v>1.764</v>
      </c>
      <c r="R157" s="41">
        <v>0</v>
      </c>
      <c r="S157" s="41">
        <v>0</v>
      </c>
      <c r="T157" s="41">
        <f>S157*_xlfn.XLOOKUP($A157,tbl_Catalog[sku_id],tbl_Catalog[master_carton_qty])</f>
        <v>0</v>
      </c>
      <c r="U157" s="46">
        <f t="shared" si="32"/>
        <v>0</v>
      </c>
      <c r="V157" s="41">
        <f>IF(_xlfn.XLOOKUP($A157,tbl_Catalog[sku_id],tbl_Catalog[master_carton_qty])&gt;0,U157/_xlfn.XLOOKUP($A157,tbl_Catalog[sku_id],tbl_Catalog[master_carton_qty]),0)</f>
        <v>0</v>
      </c>
      <c r="W157" s="38">
        <f>V157*_xlfn.XLOOKUP($A157,tbl_Catalog[sku_id],tbl_Catalog[carton_volume_cbm])</f>
        <v>0</v>
      </c>
      <c r="X157" s="4" t="str">
        <f t="shared" si="33"/>
        <v>DEFERRED / NO PO</v>
      </c>
      <c r="Y157" s="4" t="str">
        <f>IF(U157=0,"N/A",IF(AND(MOD(U157,_xlfn.XLOOKUP($A157,tbl_Catalog[sku_id],tbl_Catalog[master_carton_qty]))=0,U157&gt;=_xlfn.XLOOKUP($A157,tbl_Catalog[sku_id],tbl_Catalog[sku_moq_units])),"MOQ OK","CHECK"))</f>
        <v>N/A</v>
      </c>
      <c r="Z157" s="4" t="str">
        <f t="shared" si="34"/>
        <v>N/A</v>
      </c>
      <c r="AA157" s="41">
        <v>500</v>
      </c>
      <c r="AB157" s="41">
        <v>16</v>
      </c>
      <c r="AC157" s="4" t="b">
        <v>0</v>
      </c>
    </row>
    <row r="158" spans="1:29" x14ac:dyDescent="0.3">
      <c r="A158" s="36" t="s">
        <v>663</v>
      </c>
      <c r="B158" s="16" t="s">
        <v>646</v>
      </c>
      <c r="C158" s="4" t="s">
        <v>184</v>
      </c>
      <c r="D158" s="41">
        <v>0</v>
      </c>
      <c r="E158" s="41">
        <v>0</v>
      </c>
      <c r="F158" s="42">
        <f>'03_FBA_Nivel1_Transfer'!E158+D158-E158</f>
        <v>158</v>
      </c>
      <c r="G158" s="39">
        <f>'02_Demand_Unconstraining'!R158</f>
        <v>7.8598999999999997</v>
      </c>
      <c r="H158" s="30">
        <f>'02_Demand_Unconstraining'!S158</f>
        <v>2.7854999999999999</v>
      </c>
      <c r="I158" s="29">
        <f>_xlfn.XLOOKUP($A158,tbl_Catalog[sku_id],tbl_Catalog[z_score])</f>
        <v>1.645</v>
      </c>
      <c r="J158" s="41">
        <f t="shared" si="28"/>
        <v>136</v>
      </c>
      <c r="K158" s="41">
        <f>'03_FBA_Nivel1_Transfer'!N158</f>
        <v>135</v>
      </c>
      <c r="L158" s="41">
        <f t="shared" si="29"/>
        <v>861</v>
      </c>
      <c r="M158" s="44">
        <f t="shared" si="30"/>
        <v>1215</v>
      </c>
      <c r="N158" s="41">
        <f>_xlfn.CEILING.MATH(_xlfn.XLOOKUP($A158,tbl_Catalog[sku_id],tbl_Catalog[sku_moq_units])/_xlfn.XLOOKUP($A158,tbl_Catalog[sku_id],tbl_Catalog[master_carton_qty]),1)</f>
        <v>10</v>
      </c>
      <c r="O158" s="31">
        <f t="shared" si="31"/>
        <v>-89.44134149289431</v>
      </c>
      <c r="P158" s="48">
        <f>_xlfn.LET(_xlpm.ip_sys,$F158,_xlpm.rop_sys,$L158,_xlpm.s_max,$M158,_xlpm.m_qty,_xlfn.XLOOKUP($A158,tbl_Catalog[sku_id],tbl_Catalog[master_carton_qty]),_xlpm.moq,_xlfn.XLOOKUP($A158,tbl_Catalog[sku_id],tbl_Catalog[sku_moq_units]),IF(_xlpm.ip_sys&lt;=_xlpm.rop_sys,_xlfn.CEILING.MATH(MAX(_xlpm.s_max-_xlpm.ip_sys,_xlpm.moq),_xlpm.m_qty),0))</f>
        <v>1100</v>
      </c>
      <c r="Q158" s="30">
        <f>IF(P158&gt;0,(P158/_xlfn.XLOOKUP($A158,tbl_Catalog[sku_id],tbl_Catalog[master_carton_qty]))*_xlfn.XLOOKUP($A158,tbl_Catalog[sku_id],tbl_Catalog[carton_volume_cbm]),0)</f>
        <v>1.8480000000000001</v>
      </c>
      <c r="R158" s="41">
        <v>0</v>
      </c>
      <c r="S158" s="41">
        <v>0</v>
      </c>
      <c r="T158" s="41">
        <f>S158*_xlfn.XLOOKUP($A158,tbl_Catalog[sku_id],tbl_Catalog[master_carton_qty])</f>
        <v>0</v>
      </c>
      <c r="U158" s="46">
        <f t="shared" si="32"/>
        <v>0</v>
      </c>
      <c r="V158" s="41">
        <f>IF(_xlfn.XLOOKUP($A158,tbl_Catalog[sku_id],tbl_Catalog[master_carton_qty])&gt;0,U158/_xlfn.XLOOKUP($A158,tbl_Catalog[sku_id],tbl_Catalog[master_carton_qty]),0)</f>
        <v>0</v>
      </c>
      <c r="W158" s="38">
        <f>V158*_xlfn.XLOOKUP($A158,tbl_Catalog[sku_id],tbl_Catalog[carton_volume_cbm])</f>
        <v>0</v>
      </c>
      <c r="X158" s="4" t="str">
        <f t="shared" si="33"/>
        <v>DEFERRED / NO PO</v>
      </c>
      <c r="Y158" s="4" t="str">
        <f>IF(U158=0,"N/A",IF(AND(MOD(U158,_xlfn.XLOOKUP($A158,tbl_Catalog[sku_id],tbl_Catalog[master_carton_qty]))=0,U158&gt;=_xlfn.XLOOKUP($A158,tbl_Catalog[sku_id],tbl_Catalog[sku_moq_units])),"MOQ OK","CHECK"))</f>
        <v>N/A</v>
      </c>
      <c r="Z158" s="4" t="str">
        <f t="shared" si="34"/>
        <v>N/A</v>
      </c>
      <c r="AA158" s="41">
        <v>500</v>
      </c>
      <c r="AB158" s="41">
        <v>18</v>
      </c>
      <c r="AC158" s="4" t="b">
        <v>0</v>
      </c>
    </row>
    <row r="159" spans="1:29" x14ac:dyDescent="0.3">
      <c r="A159" s="36" t="s">
        <v>666</v>
      </c>
      <c r="B159" s="16" t="s">
        <v>646</v>
      </c>
      <c r="C159" s="4" t="s">
        <v>184</v>
      </c>
      <c r="D159" s="41">
        <v>54</v>
      </c>
      <c r="E159" s="41">
        <v>0</v>
      </c>
      <c r="F159" s="42">
        <f>'03_FBA_Nivel1_Transfer'!E159+D159-E159</f>
        <v>209</v>
      </c>
      <c r="G159" s="39">
        <f>'02_Demand_Unconstraining'!R159</f>
        <v>4.9667000000000003</v>
      </c>
      <c r="H159" s="30">
        <f>'02_Demand_Unconstraining'!S159</f>
        <v>1.7702</v>
      </c>
      <c r="I159" s="29">
        <f>_xlfn.XLOOKUP($A159,tbl_Catalog[sku_id],tbl_Catalog[z_score])</f>
        <v>1.645</v>
      </c>
      <c r="J159" s="41">
        <f t="shared" si="28"/>
        <v>86</v>
      </c>
      <c r="K159" s="41">
        <f>'03_FBA_Nivel1_Transfer'!N159</f>
        <v>13</v>
      </c>
      <c r="L159" s="41">
        <f t="shared" si="29"/>
        <v>472</v>
      </c>
      <c r="M159" s="44">
        <f t="shared" si="30"/>
        <v>696</v>
      </c>
      <c r="N159" s="41">
        <f>_xlfn.CEILING.MATH(_xlfn.XLOOKUP($A159,tbl_Catalog[sku_id],tbl_Catalog[sku_moq_units])/_xlfn.XLOOKUP($A159,tbl_Catalog[sku_id],tbl_Catalog[master_carton_qty]),1)</f>
        <v>10</v>
      </c>
      <c r="O159" s="31">
        <f t="shared" si="31"/>
        <v>-52.95266474721646</v>
      </c>
      <c r="P159" s="48">
        <f>_xlfn.LET(_xlpm.ip_sys,$F159,_xlpm.rop_sys,$L159,_xlpm.s_max,$M159,_xlpm.m_qty,_xlfn.XLOOKUP($A159,tbl_Catalog[sku_id],tbl_Catalog[master_carton_qty]),_xlpm.moq,_xlfn.XLOOKUP($A159,tbl_Catalog[sku_id],tbl_Catalog[sku_moq_units]),IF(_xlpm.ip_sys&lt;=_xlpm.rop_sys,_xlfn.CEILING.MATH(MAX(_xlpm.s_max-_xlpm.ip_sys,_xlpm.moq),_xlpm.m_qty),0))</f>
        <v>500</v>
      </c>
      <c r="Q159" s="30">
        <f>IF(P159&gt;0,(P159/_xlfn.XLOOKUP($A159,tbl_Catalog[sku_id],tbl_Catalog[master_carton_qty]))*_xlfn.XLOOKUP($A159,tbl_Catalog[sku_id],tbl_Catalog[carton_volume_cbm]),0)</f>
        <v>0.84000000000000008</v>
      </c>
      <c r="R159" s="41">
        <v>0</v>
      </c>
      <c r="S159" s="41">
        <v>0</v>
      </c>
      <c r="T159" s="41">
        <f>S159*_xlfn.XLOOKUP($A159,tbl_Catalog[sku_id],tbl_Catalog[master_carton_qty])</f>
        <v>0</v>
      </c>
      <c r="U159" s="46">
        <f t="shared" si="32"/>
        <v>0</v>
      </c>
      <c r="V159" s="41">
        <f>IF(_xlfn.XLOOKUP($A159,tbl_Catalog[sku_id],tbl_Catalog[master_carton_qty])&gt;0,U159/_xlfn.XLOOKUP($A159,tbl_Catalog[sku_id],tbl_Catalog[master_carton_qty]),0)</f>
        <v>0</v>
      </c>
      <c r="W159" s="38">
        <f>V159*_xlfn.XLOOKUP($A159,tbl_Catalog[sku_id],tbl_Catalog[carton_volume_cbm])</f>
        <v>0</v>
      </c>
      <c r="X159" s="4" t="str">
        <f t="shared" si="33"/>
        <v>DEFERRED / NO PO</v>
      </c>
      <c r="Y159" s="4" t="str">
        <f>IF(U159=0,"N/A",IF(AND(MOD(U159,_xlfn.XLOOKUP($A159,tbl_Catalog[sku_id],tbl_Catalog[master_carton_qty]))=0,U159&gt;=_xlfn.XLOOKUP($A159,tbl_Catalog[sku_id],tbl_Catalog[sku_moq_units])),"MOQ OK","CHECK"))</f>
        <v>N/A</v>
      </c>
      <c r="Z159" s="4" t="str">
        <f t="shared" si="34"/>
        <v>N/A</v>
      </c>
      <c r="AA159" s="41">
        <v>500</v>
      </c>
      <c r="AB159" s="41">
        <v>10</v>
      </c>
      <c r="AC159" s="4" t="b">
        <v>0</v>
      </c>
    </row>
    <row r="160" spans="1:29" x14ac:dyDescent="0.3">
      <c r="A160" s="36" t="s">
        <v>669</v>
      </c>
      <c r="B160" s="16" t="s">
        <v>646</v>
      </c>
      <c r="C160" s="4" t="s">
        <v>179</v>
      </c>
      <c r="D160" s="41">
        <v>95</v>
      </c>
      <c r="E160" s="41">
        <v>0</v>
      </c>
      <c r="F160" s="42">
        <f>'03_FBA_Nivel1_Transfer'!E160+D160-E160</f>
        <v>292</v>
      </c>
      <c r="G160" s="39">
        <f>'02_Demand_Unconstraining'!R160</f>
        <v>5.4667000000000003</v>
      </c>
      <c r="H160" s="30">
        <f>'02_Demand_Unconstraining'!S160</f>
        <v>2.6381000000000001</v>
      </c>
      <c r="I160" s="29">
        <f>_xlfn.XLOOKUP($A160,tbl_Catalog[sku_id],tbl_Catalog[z_score])</f>
        <v>1.645</v>
      </c>
      <c r="J160" s="41">
        <f t="shared" si="28"/>
        <v>98</v>
      </c>
      <c r="K160" s="41">
        <f>'03_FBA_Nivel1_Transfer'!N160</f>
        <v>17</v>
      </c>
      <c r="L160" s="41">
        <f t="shared" si="29"/>
        <v>526</v>
      </c>
      <c r="M160" s="44">
        <f t="shared" si="30"/>
        <v>772</v>
      </c>
      <c r="N160" s="41">
        <f>_xlfn.CEILING.MATH(_xlfn.XLOOKUP($A160,tbl_Catalog[sku_id],tbl_Catalog[sku_moq_units])/_xlfn.XLOOKUP($A160,tbl_Catalog[sku_id],tbl_Catalog[master_carton_qty]),1)</f>
        <v>10</v>
      </c>
      <c r="O160" s="31">
        <f t="shared" si="31"/>
        <v>-42.804617045018013</v>
      </c>
      <c r="P160" s="48">
        <f>_xlfn.LET(_xlpm.ip_sys,$F160,_xlpm.rop_sys,$L160,_xlpm.s_max,$M160,_xlpm.m_qty,_xlfn.XLOOKUP($A160,tbl_Catalog[sku_id],tbl_Catalog[master_carton_qty]),_xlpm.moq,_xlfn.XLOOKUP($A160,tbl_Catalog[sku_id],tbl_Catalog[sku_moq_units]),IF(_xlpm.ip_sys&lt;=_xlpm.rop_sys,_xlfn.CEILING.MATH(MAX(_xlpm.s_max-_xlpm.ip_sys,_xlpm.moq),_xlpm.m_qty),0))</f>
        <v>500</v>
      </c>
      <c r="Q160" s="30">
        <f>IF(P160&gt;0,(P160/_xlfn.XLOOKUP($A160,tbl_Catalog[sku_id],tbl_Catalog[master_carton_qty]))*_xlfn.XLOOKUP($A160,tbl_Catalog[sku_id],tbl_Catalog[carton_volume_cbm]),0)</f>
        <v>0.84000000000000008</v>
      </c>
      <c r="R160" s="41">
        <v>0</v>
      </c>
      <c r="S160" s="41">
        <v>0</v>
      </c>
      <c r="T160" s="41">
        <f>S160*_xlfn.XLOOKUP($A160,tbl_Catalog[sku_id],tbl_Catalog[master_carton_qty])</f>
        <v>0</v>
      </c>
      <c r="U160" s="46">
        <f t="shared" si="32"/>
        <v>0</v>
      </c>
      <c r="V160" s="41">
        <f>IF(_xlfn.XLOOKUP($A160,tbl_Catalog[sku_id],tbl_Catalog[master_carton_qty])&gt;0,U160/_xlfn.XLOOKUP($A160,tbl_Catalog[sku_id],tbl_Catalog[master_carton_qty]),0)</f>
        <v>0</v>
      </c>
      <c r="W160" s="38">
        <f>V160*_xlfn.XLOOKUP($A160,tbl_Catalog[sku_id],tbl_Catalog[carton_volume_cbm])</f>
        <v>0</v>
      </c>
      <c r="X160" s="4" t="str">
        <f t="shared" si="33"/>
        <v>DEFERRED / NO PO</v>
      </c>
      <c r="Y160" s="4" t="str">
        <f>IF(U160=0,"N/A",IF(AND(MOD(U160,_xlfn.XLOOKUP($A160,tbl_Catalog[sku_id],tbl_Catalog[master_carton_qty]))=0,U160&gt;=_xlfn.XLOOKUP($A160,tbl_Catalog[sku_id],tbl_Catalog[sku_moq_units])),"MOQ OK","CHECK"))</f>
        <v>N/A</v>
      </c>
      <c r="Z160" s="4" t="str">
        <f t="shared" si="34"/>
        <v>N/A</v>
      </c>
      <c r="AA160" s="41">
        <v>500</v>
      </c>
      <c r="AB160" s="41">
        <v>10</v>
      </c>
      <c r="AC160" s="4" t="b">
        <v>0</v>
      </c>
    </row>
    <row r="161" spans="1:29" x14ac:dyDescent="0.3">
      <c r="A161" s="36" t="s">
        <v>672</v>
      </c>
      <c r="B161" s="16" t="s">
        <v>646</v>
      </c>
      <c r="C161" s="4" t="s">
        <v>184</v>
      </c>
      <c r="D161" s="41">
        <v>0</v>
      </c>
      <c r="E161" s="41">
        <v>0</v>
      </c>
      <c r="F161" s="42">
        <f>'03_FBA_Nivel1_Transfer'!E161+D161-E161</f>
        <v>116</v>
      </c>
      <c r="G161" s="39">
        <f>'02_Demand_Unconstraining'!R161</f>
        <v>10.269600000000001</v>
      </c>
      <c r="H161" s="30">
        <f>'02_Demand_Unconstraining'!S161</f>
        <v>3.6124000000000001</v>
      </c>
      <c r="I161" s="29">
        <f>_xlfn.XLOOKUP($A161,tbl_Catalog[sku_id],tbl_Catalog[z_score])</f>
        <v>1.645</v>
      </c>
      <c r="J161" s="41">
        <f t="shared" si="28"/>
        <v>177</v>
      </c>
      <c r="K161" s="41">
        <f>'03_FBA_Nivel1_Transfer'!N161</f>
        <v>155</v>
      </c>
      <c r="L161" s="41">
        <f t="shared" si="29"/>
        <v>1103</v>
      </c>
      <c r="M161" s="44">
        <f t="shared" si="30"/>
        <v>1565</v>
      </c>
      <c r="N161" s="41">
        <f>_xlfn.CEILING.MATH(_xlfn.XLOOKUP($A161,tbl_Catalog[sku_id],tbl_Catalog[sku_moq_units])/_xlfn.XLOOKUP($A161,tbl_Catalog[sku_id],tbl_Catalog[master_carton_qty]),1)</f>
        <v>10</v>
      </c>
      <c r="O161" s="31">
        <f t="shared" si="31"/>
        <v>-96.108903949520908</v>
      </c>
      <c r="P161" s="48">
        <f>_xlfn.LET(_xlpm.ip_sys,$F161,_xlpm.rop_sys,$L161,_xlpm.s_max,$M161,_xlpm.m_qty,_xlfn.XLOOKUP($A161,tbl_Catalog[sku_id],tbl_Catalog[master_carton_qty]),_xlpm.moq,_xlfn.XLOOKUP($A161,tbl_Catalog[sku_id],tbl_Catalog[sku_moq_units]),IF(_xlpm.ip_sys&lt;=_xlpm.rop_sys,_xlfn.CEILING.MATH(MAX(_xlpm.s_max-_xlpm.ip_sys,_xlpm.moq),_xlpm.m_qty),0))</f>
        <v>1450</v>
      </c>
      <c r="Q161" s="30">
        <f>IF(P161&gt;0,(P161/_xlfn.XLOOKUP($A161,tbl_Catalog[sku_id],tbl_Catalog[master_carton_qty]))*_xlfn.XLOOKUP($A161,tbl_Catalog[sku_id],tbl_Catalog[carton_volume_cbm]),0)</f>
        <v>2.4359999999999999</v>
      </c>
      <c r="R161" s="41">
        <v>0</v>
      </c>
      <c r="S161" s="41">
        <v>0</v>
      </c>
      <c r="T161" s="41">
        <f>S161*_xlfn.XLOOKUP($A161,tbl_Catalog[sku_id],tbl_Catalog[master_carton_qty])</f>
        <v>0</v>
      </c>
      <c r="U161" s="46">
        <f t="shared" si="32"/>
        <v>0</v>
      </c>
      <c r="V161" s="41">
        <f>IF(_xlfn.XLOOKUP($A161,tbl_Catalog[sku_id],tbl_Catalog[master_carton_qty])&gt;0,U161/_xlfn.XLOOKUP($A161,tbl_Catalog[sku_id],tbl_Catalog[master_carton_qty]),0)</f>
        <v>0</v>
      </c>
      <c r="W161" s="38">
        <f>V161*_xlfn.XLOOKUP($A161,tbl_Catalog[sku_id],tbl_Catalog[carton_volume_cbm])</f>
        <v>0</v>
      </c>
      <c r="X161" s="4" t="str">
        <f t="shared" si="33"/>
        <v>DEFERRED / NO PO</v>
      </c>
      <c r="Y161" s="4" t="str">
        <f>IF(U161=0,"N/A",IF(AND(MOD(U161,_xlfn.XLOOKUP($A161,tbl_Catalog[sku_id],tbl_Catalog[master_carton_qty]))=0,U161&gt;=_xlfn.XLOOKUP($A161,tbl_Catalog[sku_id],tbl_Catalog[sku_moq_units])),"MOQ OK","CHECK"))</f>
        <v>N/A</v>
      </c>
      <c r="Z161" s="4" t="str">
        <f t="shared" si="34"/>
        <v>N/A</v>
      </c>
      <c r="AA161" s="41">
        <v>500</v>
      </c>
      <c r="AB161" s="41">
        <v>25</v>
      </c>
      <c r="AC161" s="4" t="b">
        <v>0</v>
      </c>
    </row>
    <row r="162" spans="1:29" x14ac:dyDescent="0.3">
      <c r="A162" s="36" t="s">
        <v>675</v>
      </c>
      <c r="B162" s="16" t="s">
        <v>646</v>
      </c>
      <c r="C162" s="4" t="s">
        <v>184</v>
      </c>
      <c r="D162" s="41">
        <v>88</v>
      </c>
      <c r="E162" s="41">
        <v>0</v>
      </c>
      <c r="F162" s="42">
        <f>'03_FBA_Nivel1_Transfer'!E162+D162-E162</f>
        <v>256</v>
      </c>
      <c r="G162" s="39">
        <f>'02_Demand_Unconstraining'!R162</f>
        <v>6.0332999999999997</v>
      </c>
      <c r="H162" s="30">
        <f>'02_Demand_Unconstraining'!S162</f>
        <v>2.1924999999999999</v>
      </c>
      <c r="I162" s="29">
        <f>_xlfn.XLOOKUP($A162,tbl_Catalog[sku_id],tbl_Catalog[z_score])</f>
        <v>1.645</v>
      </c>
      <c r="J162" s="41">
        <f t="shared" si="28"/>
        <v>105</v>
      </c>
      <c r="K162" s="41">
        <f>'03_FBA_Nivel1_Transfer'!N162</f>
        <v>14</v>
      </c>
      <c r="L162" s="41">
        <f t="shared" si="29"/>
        <v>572</v>
      </c>
      <c r="M162" s="44">
        <f t="shared" si="30"/>
        <v>843</v>
      </c>
      <c r="N162" s="41">
        <f>_xlfn.CEILING.MATH(_xlfn.XLOOKUP($A162,tbl_Catalog[sku_id],tbl_Catalog[sku_moq_units])/_xlfn.XLOOKUP($A162,tbl_Catalog[sku_id],tbl_Catalog[master_carton_qty]),1)</f>
        <v>10</v>
      </c>
      <c r="O162" s="31">
        <f t="shared" si="31"/>
        <v>-52.375979977789939</v>
      </c>
      <c r="P162" s="48">
        <f>_xlfn.LET(_xlpm.ip_sys,$F162,_xlpm.rop_sys,$L162,_xlpm.s_max,$M162,_xlpm.m_qty,_xlfn.XLOOKUP($A162,tbl_Catalog[sku_id],tbl_Catalog[master_carton_qty]),_xlpm.moq,_xlfn.XLOOKUP($A162,tbl_Catalog[sku_id],tbl_Catalog[sku_moq_units]),IF(_xlpm.ip_sys&lt;=_xlpm.rop_sys,_xlfn.CEILING.MATH(MAX(_xlpm.s_max-_xlpm.ip_sys,_xlpm.moq),_xlpm.m_qty),0))</f>
        <v>600</v>
      </c>
      <c r="Q162" s="30">
        <f>IF(P162&gt;0,(P162/_xlfn.XLOOKUP($A162,tbl_Catalog[sku_id],tbl_Catalog[master_carton_qty]))*_xlfn.XLOOKUP($A162,tbl_Catalog[sku_id],tbl_Catalog[carton_volume_cbm]),0)</f>
        <v>1.008</v>
      </c>
      <c r="R162" s="41">
        <v>0</v>
      </c>
      <c r="S162" s="41">
        <v>0</v>
      </c>
      <c r="T162" s="41">
        <f>S162*_xlfn.XLOOKUP($A162,tbl_Catalog[sku_id],tbl_Catalog[master_carton_qty])</f>
        <v>0</v>
      </c>
      <c r="U162" s="46">
        <f t="shared" si="32"/>
        <v>0</v>
      </c>
      <c r="V162" s="41">
        <f>IF(_xlfn.XLOOKUP($A162,tbl_Catalog[sku_id],tbl_Catalog[master_carton_qty])&gt;0,U162/_xlfn.XLOOKUP($A162,tbl_Catalog[sku_id],tbl_Catalog[master_carton_qty]),0)</f>
        <v>0</v>
      </c>
      <c r="W162" s="38">
        <f>V162*_xlfn.XLOOKUP($A162,tbl_Catalog[sku_id],tbl_Catalog[carton_volume_cbm])</f>
        <v>0</v>
      </c>
      <c r="X162" s="4" t="str">
        <f t="shared" si="33"/>
        <v>DEFERRED / NO PO</v>
      </c>
      <c r="Y162" s="4" t="str">
        <f>IF(U162=0,"N/A",IF(AND(MOD(U162,_xlfn.XLOOKUP($A162,tbl_Catalog[sku_id],tbl_Catalog[master_carton_qty]))=0,U162&gt;=_xlfn.XLOOKUP($A162,tbl_Catalog[sku_id],tbl_Catalog[sku_moq_units])),"MOQ OK","CHECK"))</f>
        <v>N/A</v>
      </c>
      <c r="Z162" s="4" t="str">
        <f t="shared" si="34"/>
        <v>N/A</v>
      </c>
      <c r="AA162" s="41">
        <v>500</v>
      </c>
      <c r="AB162" s="41">
        <v>11</v>
      </c>
      <c r="AC162" s="4" t="b">
        <v>0</v>
      </c>
    </row>
    <row r="163" spans="1:29" x14ac:dyDescent="0.3">
      <c r="A163" s="36" t="s">
        <v>678</v>
      </c>
      <c r="B163" s="16" t="s">
        <v>646</v>
      </c>
      <c r="C163" s="4" t="s">
        <v>179</v>
      </c>
      <c r="D163" s="41">
        <v>266</v>
      </c>
      <c r="E163" s="41">
        <v>0</v>
      </c>
      <c r="F163" s="42">
        <f>'03_FBA_Nivel1_Transfer'!E163+D163-E163</f>
        <v>403</v>
      </c>
      <c r="G163" s="39">
        <f>'02_Demand_Unconstraining'!R163</f>
        <v>5.3</v>
      </c>
      <c r="H163" s="30">
        <f>'02_Demand_Unconstraining'!S163</f>
        <v>2.5964</v>
      </c>
      <c r="I163" s="29">
        <f>_xlfn.XLOOKUP($A163,tbl_Catalog[sku_id],tbl_Catalog[z_score])</f>
        <v>1.645</v>
      </c>
      <c r="J163" s="41">
        <f t="shared" si="28"/>
        <v>95</v>
      </c>
      <c r="K163" s="41">
        <f>'03_FBA_Nivel1_Transfer'!N163</f>
        <v>14</v>
      </c>
      <c r="L163" s="41">
        <f t="shared" si="29"/>
        <v>507</v>
      </c>
      <c r="M163" s="44">
        <f t="shared" si="30"/>
        <v>745</v>
      </c>
      <c r="N163" s="41">
        <f>_xlfn.CEILING.MATH(_xlfn.XLOOKUP($A163,tbl_Catalog[sku_id],tbl_Catalog[sku_moq_units])/_xlfn.XLOOKUP($A163,tbl_Catalog[sku_id],tbl_Catalog[master_carton_qty]),1)</f>
        <v>10</v>
      </c>
      <c r="O163" s="31">
        <f t="shared" si="31"/>
        <v>-19.622641509433961</v>
      </c>
      <c r="P163" s="48">
        <f>_xlfn.LET(_xlpm.ip_sys,$F163,_xlpm.rop_sys,$L163,_xlpm.s_max,$M163,_xlpm.m_qty,_xlfn.XLOOKUP($A163,tbl_Catalog[sku_id],tbl_Catalog[master_carton_qty]),_xlpm.moq,_xlfn.XLOOKUP($A163,tbl_Catalog[sku_id],tbl_Catalog[sku_moq_units]),IF(_xlpm.ip_sys&lt;=_xlpm.rop_sys,_xlfn.CEILING.MATH(MAX(_xlpm.s_max-_xlpm.ip_sys,_xlpm.moq),_xlpm.m_qty),0))</f>
        <v>500</v>
      </c>
      <c r="Q163" s="30">
        <f>IF(P163&gt;0,(P163/_xlfn.XLOOKUP($A163,tbl_Catalog[sku_id],tbl_Catalog[master_carton_qty]))*_xlfn.XLOOKUP($A163,tbl_Catalog[sku_id],tbl_Catalog[carton_volume_cbm]),0)</f>
        <v>0.84000000000000008</v>
      </c>
      <c r="R163" s="41">
        <v>0</v>
      </c>
      <c r="S163" s="41">
        <v>0</v>
      </c>
      <c r="T163" s="41">
        <f>S163*_xlfn.XLOOKUP($A163,tbl_Catalog[sku_id],tbl_Catalog[master_carton_qty])</f>
        <v>0</v>
      </c>
      <c r="U163" s="46">
        <f t="shared" si="32"/>
        <v>0</v>
      </c>
      <c r="V163" s="41">
        <f>IF(_xlfn.XLOOKUP($A163,tbl_Catalog[sku_id],tbl_Catalog[master_carton_qty])&gt;0,U163/_xlfn.XLOOKUP($A163,tbl_Catalog[sku_id],tbl_Catalog[master_carton_qty]),0)</f>
        <v>0</v>
      </c>
      <c r="W163" s="38">
        <f>V163*_xlfn.XLOOKUP($A163,tbl_Catalog[sku_id],tbl_Catalog[carton_volume_cbm])</f>
        <v>0</v>
      </c>
      <c r="X163" s="4" t="str">
        <f t="shared" si="33"/>
        <v>DEFERRED / NO PO</v>
      </c>
      <c r="Y163" s="4" t="str">
        <f>IF(U163=0,"N/A",IF(AND(MOD(U163,_xlfn.XLOOKUP($A163,tbl_Catalog[sku_id],tbl_Catalog[master_carton_qty]))=0,U163&gt;=_xlfn.XLOOKUP($A163,tbl_Catalog[sku_id],tbl_Catalog[sku_moq_units])),"MOQ OK","CHECK"))</f>
        <v>N/A</v>
      </c>
      <c r="Z163" s="4" t="str">
        <f t="shared" si="34"/>
        <v>N/A</v>
      </c>
      <c r="AA163" s="41">
        <v>500</v>
      </c>
      <c r="AB163" s="41">
        <v>10</v>
      </c>
      <c r="AC163" s="4" t="b">
        <v>0</v>
      </c>
    </row>
    <row r="164" spans="1:29" x14ac:dyDescent="0.3">
      <c r="A164" s="36" t="s">
        <v>681</v>
      </c>
      <c r="B164" s="16" t="s">
        <v>646</v>
      </c>
      <c r="C164" s="4" t="s">
        <v>188</v>
      </c>
      <c r="D164" s="41">
        <v>135</v>
      </c>
      <c r="E164" s="41">
        <v>0</v>
      </c>
      <c r="F164" s="42">
        <f>'03_FBA_Nivel1_Transfer'!E164+D164-E164</f>
        <v>197</v>
      </c>
      <c r="G164" s="39">
        <f>'02_Demand_Unconstraining'!R164</f>
        <v>1.9666999999999999</v>
      </c>
      <c r="H164" s="30">
        <f>'02_Demand_Unconstraining'!S164</f>
        <v>1.8775999999999999</v>
      </c>
      <c r="I164" s="29">
        <f>_xlfn.XLOOKUP($A164,tbl_Catalog[sku_id],tbl_Catalog[z_score])</f>
        <v>1.282</v>
      </c>
      <c r="J164" s="41">
        <f t="shared" si="28"/>
        <v>33</v>
      </c>
      <c r="K164" s="41">
        <f>'03_FBA_Nivel1_Transfer'!N164</f>
        <v>8</v>
      </c>
      <c r="L164" s="41">
        <f t="shared" si="29"/>
        <v>189</v>
      </c>
      <c r="M164" s="44">
        <f t="shared" si="30"/>
        <v>278</v>
      </c>
      <c r="N164" s="41">
        <f>_xlfn.CEILING.MATH(_xlfn.XLOOKUP($A164,tbl_Catalog[sku_id],tbl_Catalog[sku_moq_units])/_xlfn.XLOOKUP($A164,tbl_Catalog[sku_id],tbl_Catalog[master_carton_qty]),1)</f>
        <v>10</v>
      </c>
      <c r="O164" s="31">
        <f t="shared" si="31"/>
        <v>4.0677276656327859</v>
      </c>
      <c r="P164" s="48">
        <f>_xlfn.LET(_xlpm.ip_sys,$F164,_xlpm.rop_sys,$L164,_xlpm.s_max,$M164,_xlpm.m_qty,_xlfn.XLOOKUP($A164,tbl_Catalog[sku_id],tbl_Catalog[master_carton_qty]),_xlpm.moq,_xlfn.XLOOKUP($A164,tbl_Catalog[sku_id],tbl_Catalog[sku_moq_units]),IF(_xlpm.ip_sys&lt;=_xlpm.rop_sys,_xlfn.CEILING.MATH(MAX(_xlpm.s_max-_xlpm.ip_sys,_xlpm.moq),_xlpm.m_qty),0))</f>
        <v>0</v>
      </c>
      <c r="Q164" s="30">
        <f>IF(P164&gt;0,(P164/_xlfn.XLOOKUP($A164,tbl_Catalog[sku_id],tbl_Catalog[master_carton_qty]))*_xlfn.XLOOKUP($A164,tbl_Catalog[sku_id],tbl_Catalog[carton_volume_cbm]),0)</f>
        <v>0</v>
      </c>
      <c r="R164" s="41">
        <v>0</v>
      </c>
      <c r="S164" s="41">
        <v>0</v>
      </c>
      <c r="T164" s="41">
        <f>S164*_xlfn.XLOOKUP($A164,tbl_Catalog[sku_id],tbl_Catalog[master_carton_qty])</f>
        <v>0</v>
      </c>
      <c r="U164" s="46">
        <f t="shared" si="32"/>
        <v>0</v>
      </c>
      <c r="V164" s="41">
        <f>IF(_xlfn.XLOOKUP($A164,tbl_Catalog[sku_id],tbl_Catalog[master_carton_qty])&gt;0,U164/_xlfn.XLOOKUP($A164,tbl_Catalog[sku_id],tbl_Catalog[master_carton_qty]),0)</f>
        <v>0</v>
      </c>
      <c r="W164" s="38">
        <f>V164*_xlfn.XLOOKUP($A164,tbl_Catalog[sku_id],tbl_Catalog[carton_volume_cbm])</f>
        <v>0</v>
      </c>
      <c r="X164" s="4" t="str">
        <f t="shared" si="33"/>
        <v>DEFERRED / NO PO</v>
      </c>
      <c r="Y164" s="4" t="str">
        <f>IF(U164=0,"N/A",IF(AND(MOD(U164,_xlfn.XLOOKUP($A164,tbl_Catalog[sku_id],tbl_Catalog[master_carton_qty]))=0,U164&gt;=_xlfn.XLOOKUP($A164,tbl_Catalog[sku_id],tbl_Catalog[sku_moq_units])),"MOQ OK","CHECK"))</f>
        <v>N/A</v>
      </c>
      <c r="Z164" s="4" t="str">
        <f t="shared" si="34"/>
        <v>N/A</v>
      </c>
      <c r="AA164" s="41">
        <v>500</v>
      </c>
      <c r="AB164" s="41">
        <v>0</v>
      </c>
      <c r="AC164" s="4" t="b">
        <v>0</v>
      </c>
    </row>
  </sheetData>
  <mergeCells count="2">
    <mergeCell ref="A2:AC2"/>
    <mergeCell ref="A1:AC1"/>
  </mergeCells>
  <conditionalFormatting sqref="X5:X164">
    <cfRule type="expression" dxfId="5" priority="2">
      <formula>$X5="DEFERRED / NO PO"</formula>
    </cfRule>
  </conditionalFormatting>
  <conditionalFormatting sqref="Y5:Y164">
    <cfRule type="expression" dxfId="4" priority="3">
      <formula>$Y5="CHECK"</formula>
    </cfRule>
  </conditionalFormatting>
  <conditionalFormatting sqref="Z5:Z164">
    <cfRule type="expression" dxfId="3" priority="1">
      <formula>$Z5="MOQ OVERRIDE"</formula>
    </cfRule>
  </conditionalFormatting>
  <printOptions horizontalCentered="1"/>
  <pageMargins left="0.75" right="0.75" top="1" bottom="1" header="0.5" footer="0.5"/>
  <pageSetup fitToHeight="0" orientation="landscape"/>
  <tableParts count="1">
    <tablePart r:id="rId1"/>
  </tableParts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>
    <tabColor rgb="FFC00000"/>
    <pageSetUpPr fitToPage="1"/>
  </sheetPr>
  <dimension ref="A1:X164"/>
  <sheetViews>
    <sheetView showGridLines="0" workbookViewId="0">
      <pane xSplit="2" ySplit="4" topLeftCell="C5" activePane="bottomRight" state="frozen"/>
      <selection pane="topRight"/>
      <selection pane="bottomLeft"/>
      <selection pane="bottomRight"/>
    </sheetView>
  </sheetViews>
  <sheetFormatPr baseColWidth="10" defaultColWidth="8.88671875" defaultRowHeight="14.4" x14ac:dyDescent="0.3"/>
  <cols>
    <col min="1" max="1" width="28" customWidth="1"/>
    <col min="2" max="2" width="20" customWidth="1"/>
    <col min="3" max="3" width="8" customWidth="1"/>
    <col min="4" max="4" width="9" customWidth="1"/>
    <col min="5" max="6" width="8" customWidth="1"/>
    <col min="7" max="8" width="9" customWidth="1"/>
    <col min="9" max="9" width="8" customWidth="1"/>
    <col min="10" max="10" width="11" customWidth="1"/>
    <col min="11" max="11" width="9" customWidth="1"/>
    <col min="12" max="15" width="12" customWidth="1"/>
    <col min="16" max="18" width="11" customWidth="1"/>
    <col min="19" max="19" width="22" customWidth="1"/>
    <col min="20" max="21" width="13" customWidth="1"/>
    <col min="22" max="22" width="20" customWidth="1"/>
    <col min="23" max="23" width="10" customWidth="1"/>
    <col min="24" max="24" width="26" customWidth="1"/>
  </cols>
  <sheetData>
    <row r="1" spans="1:24" ht="28.05" customHeight="1" x14ac:dyDescent="0.3">
      <c r="A1" s="51" t="s">
        <v>759</v>
      </c>
      <c r="B1" s="52"/>
      <c r="C1" s="52"/>
      <c r="D1" s="52"/>
      <c r="E1" s="52"/>
      <c r="F1" s="52"/>
      <c r="G1" s="52"/>
      <c r="H1" s="52"/>
      <c r="I1" s="52"/>
      <c r="J1" s="52"/>
      <c r="K1" s="52"/>
      <c r="L1" s="52"/>
      <c r="M1" s="52"/>
      <c r="N1" s="52"/>
      <c r="O1" s="52"/>
      <c r="P1" s="52"/>
      <c r="Q1" s="52"/>
      <c r="R1" s="52"/>
      <c r="S1" s="52"/>
      <c r="T1" s="52"/>
      <c r="U1" s="52"/>
      <c r="V1" s="52"/>
      <c r="W1" s="52"/>
      <c r="X1" s="52"/>
    </row>
    <row r="2" spans="1:24" ht="19.95" customHeight="1" x14ac:dyDescent="0.3">
      <c r="A2" s="58" t="s">
        <v>760</v>
      </c>
      <c r="B2" s="57"/>
      <c r="C2" s="57"/>
      <c r="D2" s="57"/>
      <c r="E2" s="57"/>
      <c r="F2" s="57"/>
      <c r="G2" s="57"/>
      <c r="H2" s="57"/>
      <c r="I2" s="57"/>
      <c r="J2" s="57"/>
      <c r="K2" s="57"/>
      <c r="L2" s="57"/>
      <c r="M2" s="57"/>
      <c r="N2" s="57"/>
      <c r="O2" s="57"/>
      <c r="P2" s="57"/>
      <c r="Q2" s="57"/>
      <c r="R2" s="57"/>
      <c r="S2" s="57"/>
      <c r="T2" s="57"/>
      <c r="U2" s="57"/>
      <c r="V2" s="57"/>
      <c r="W2" s="57"/>
      <c r="X2" s="57"/>
    </row>
    <row r="4" spans="1:24" ht="37.950000000000003" customHeight="1" x14ac:dyDescent="0.3">
      <c r="A4" s="27" t="s">
        <v>140</v>
      </c>
      <c r="B4" s="27" t="s">
        <v>141</v>
      </c>
      <c r="C4" s="27" t="s">
        <v>686</v>
      </c>
      <c r="D4" s="27" t="s">
        <v>761</v>
      </c>
      <c r="E4" s="27" t="s">
        <v>762</v>
      </c>
      <c r="F4" s="27" t="s">
        <v>763</v>
      </c>
      <c r="G4" s="27" t="s">
        <v>764</v>
      </c>
      <c r="H4" s="27" t="s">
        <v>765</v>
      </c>
      <c r="I4" s="27" t="s">
        <v>766</v>
      </c>
      <c r="J4" s="27" t="s">
        <v>715</v>
      </c>
      <c r="K4" s="27" t="s">
        <v>716</v>
      </c>
      <c r="L4" s="27" t="s">
        <v>767</v>
      </c>
      <c r="M4" s="27" t="s">
        <v>768</v>
      </c>
      <c r="N4" s="27" t="s">
        <v>769</v>
      </c>
      <c r="O4" s="27" t="s">
        <v>770</v>
      </c>
      <c r="P4" s="27" t="s">
        <v>771</v>
      </c>
      <c r="Q4" s="27" t="s">
        <v>772</v>
      </c>
      <c r="R4" s="27" t="s">
        <v>773</v>
      </c>
      <c r="S4" s="27" t="s">
        <v>774</v>
      </c>
      <c r="T4" s="27" t="s">
        <v>775</v>
      </c>
      <c r="U4" s="27" t="s">
        <v>776</v>
      </c>
      <c r="V4" s="27" t="s">
        <v>777</v>
      </c>
      <c r="W4" s="27" t="s">
        <v>778</v>
      </c>
      <c r="X4" s="27" t="s">
        <v>779</v>
      </c>
    </row>
    <row r="5" spans="1:24" x14ac:dyDescent="0.3">
      <c r="A5" s="36" t="s">
        <v>164</v>
      </c>
      <c r="B5" s="16" t="s">
        <v>165</v>
      </c>
      <c r="C5" s="4" t="s">
        <v>172</v>
      </c>
      <c r="D5" s="34">
        <v>5.64E-3</v>
      </c>
      <c r="E5" s="41">
        <v>134</v>
      </c>
      <c r="F5" s="41">
        <v>63</v>
      </c>
      <c r="G5" s="41">
        <v>13</v>
      </c>
      <c r="H5" s="41">
        <v>0</v>
      </c>
      <c r="I5" s="41">
        <v>0</v>
      </c>
      <c r="J5" s="31">
        <f>'03_FBA_Nivel1_Transfer'!H5</f>
        <v>34.979999999999997</v>
      </c>
      <c r="K5" s="32">
        <f>'03_FBA_Nivel1_Transfer'!I5</f>
        <v>0</v>
      </c>
      <c r="L5" s="32">
        <f t="shared" ref="L5:L36" si="0">G5*D5*1</f>
        <v>7.3319999999999996E-2</v>
      </c>
      <c r="M5" s="32">
        <f t="shared" ref="M5:M36" si="1">H5*D5*5.45</f>
        <v>0</v>
      </c>
      <c r="N5" s="32">
        <f t="shared" ref="N5:N36" si="2">I5*MAX(D5*6.9,0.3)</f>
        <v>0</v>
      </c>
      <c r="O5" s="47">
        <f t="shared" ref="O5:O36" si="3">SUM(L5:N5)</f>
        <v>7.3319999999999996E-2</v>
      </c>
      <c r="P5" s="41">
        <f t="shared" ref="P5:P36" si="4">SUM(G5:I5)</f>
        <v>13</v>
      </c>
      <c r="Q5" s="32">
        <f t="shared" ref="Q5:Q36" si="5">P5*Removal_Fee</f>
        <v>10.92</v>
      </c>
      <c r="R5" s="31">
        <f t="shared" ref="R5:R36" si="6">IF(O5&gt;0,Q5/O5,"")</f>
        <v>148.93617021276597</v>
      </c>
      <c r="S5" s="6" t="str">
        <f t="shared" ref="S5:S36" si="7">IF(AND(P5&gt;0,ISNUMBER(R5),R5&lt;=AIS_Payback),"EXECUTE REMOVAL",IF(O5&gt;0,"DISCOUNT 25% NOW","HEALTHY"))</f>
        <v>DISCOUNT 25% NOW</v>
      </c>
      <c r="T5" s="32">
        <f t="shared" ref="T5:T36" si="8">O5*12</f>
        <v>0.87983999999999996</v>
      </c>
      <c r="U5" s="32">
        <f t="shared" ref="U5:U36" si="9">IF(S5="EXECUTE REMOVAL",T5-Q5,0)</f>
        <v>0</v>
      </c>
      <c r="V5" s="4" t="str">
        <f t="shared" ref="V5:V36" si="10">IF(AND(P5&gt;0,O5&gt;0),"Before 14th 23:59 PT","-")</f>
        <v>Before 14th 23:59 PT</v>
      </c>
      <c r="W5" s="41">
        <f t="shared" ref="W5:W36" si="11">SUM(G5:I5)</f>
        <v>13</v>
      </c>
      <c r="X5" s="5" t="str">
        <f t="shared" ref="X5:X36" si="12">IF(P5=0,"Clear",IF(R5&lt;=AIS_Payback,"Remove before cliff","Discount to accelerate FIFO"))</f>
        <v>Discount to accelerate FIFO</v>
      </c>
    </row>
    <row r="6" spans="1:24" x14ac:dyDescent="0.3">
      <c r="A6" s="36" t="s">
        <v>175</v>
      </c>
      <c r="B6" s="16" t="s">
        <v>165</v>
      </c>
      <c r="C6" s="4" t="s">
        <v>179</v>
      </c>
      <c r="D6" s="34">
        <v>5.64E-3</v>
      </c>
      <c r="E6" s="41">
        <v>75</v>
      </c>
      <c r="F6" s="41">
        <v>39</v>
      </c>
      <c r="G6" s="41">
        <v>15</v>
      </c>
      <c r="H6" s="41">
        <v>0</v>
      </c>
      <c r="I6" s="41">
        <v>0</v>
      </c>
      <c r="J6" s="31">
        <f>'03_FBA_Nivel1_Transfer'!H6</f>
        <v>68</v>
      </c>
      <c r="K6" s="32">
        <f>'03_FBA_Nivel1_Transfer'!I6</f>
        <v>0</v>
      </c>
      <c r="L6" s="32">
        <f t="shared" si="0"/>
        <v>8.4599999999999995E-2</v>
      </c>
      <c r="M6" s="32">
        <f t="shared" si="1"/>
        <v>0</v>
      </c>
      <c r="N6" s="32">
        <f t="shared" si="2"/>
        <v>0</v>
      </c>
      <c r="O6" s="47">
        <f t="shared" si="3"/>
        <v>8.4599999999999995E-2</v>
      </c>
      <c r="P6" s="41">
        <f t="shared" si="4"/>
        <v>15</v>
      </c>
      <c r="Q6" s="32">
        <f t="shared" si="5"/>
        <v>12.6</v>
      </c>
      <c r="R6" s="31">
        <f t="shared" si="6"/>
        <v>148.93617021276597</v>
      </c>
      <c r="S6" s="6" t="str">
        <f t="shared" si="7"/>
        <v>DISCOUNT 25% NOW</v>
      </c>
      <c r="T6" s="32">
        <f t="shared" si="8"/>
        <v>1.0151999999999999</v>
      </c>
      <c r="U6" s="32">
        <f t="shared" si="9"/>
        <v>0</v>
      </c>
      <c r="V6" s="4" t="str">
        <f t="shared" si="10"/>
        <v>Before 14th 23:59 PT</v>
      </c>
      <c r="W6" s="41">
        <f t="shared" si="11"/>
        <v>15</v>
      </c>
      <c r="X6" s="5" t="str">
        <f t="shared" si="12"/>
        <v>Discount to accelerate FIFO</v>
      </c>
    </row>
    <row r="7" spans="1:24" x14ac:dyDescent="0.3">
      <c r="A7" s="36" t="s">
        <v>180</v>
      </c>
      <c r="B7" s="16" t="s">
        <v>165</v>
      </c>
      <c r="C7" s="4" t="s">
        <v>184</v>
      </c>
      <c r="D7" s="34">
        <v>5.64E-3</v>
      </c>
      <c r="E7" s="41">
        <v>0</v>
      </c>
      <c r="F7" s="41">
        <v>0</v>
      </c>
      <c r="G7" s="41">
        <v>0</v>
      </c>
      <c r="H7" s="41">
        <v>0</v>
      </c>
      <c r="I7" s="41">
        <v>0</v>
      </c>
      <c r="J7" s="31">
        <f>'03_FBA_Nivel1_Transfer'!H7</f>
        <v>36.1</v>
      </c>
      <c r="K7" s="32">
        <f>'03_FBA_Nivel1_Transfer'!I7</f>
        <v>0</v>
      </c>
      <c r="L7" s="32">
        <f t="shared" si="0"/>
        <v>0</v>
      </c>
      <c r="M7" s="32">
        <f t="shared" si="1"/>
        <v>0</v>
      </c>
      <c r="N7" s="32">
        <f t="shared" si="2"/>
        <v>0</v>
      </c>
      <c r="O7" s="47">
        <f t="shared" si="3"/>
        <v>0</v>
      </c>
      <c r="P7" s="41">
        <f t="shared" si="4"/>
        <v>0</v>
      </c>
      <c r="Q7" s="32">
        <f t="shared" si="5"/>
        <v>0</v>
      </c>
      <c r="R7" s="31" t="str">
        <f t="shared" si="6"/>
        <v/>
      </c>
      <c r="S7" s="6" t="str">
        <f t="shared" si="7"/>
        <v>HEALTHY</v>
      </c>
      <c r="T7" s="32">
        <f t="shared" si="8"/>
        <v>0</v>
      </c>
      <c r="U7" s="32">
        <f t="shared" si="9"/>
        <v>0</v>
      </c>
      <c r="V7" s="4" t="str">
        <f t="shared" si="10"/>
        <v>-</v>
      </c>
      <c r="W7" s="41">
        <f t="shared" si="11"/>
        <v>0</v>
      </c>
      <c r="X7" s="5" t="str">
        <f t="shared" si="12"/>
        <v>Clear</v>
      </c>
    </row>
    <row r="8" spans="1:24" x14ac:dyDescent="0.3">
      <c r="A8" s="36" t="s">
        <v>185</v>
      </c>
      <c r="B8" s="16" t="s">
        <v>165</v>
      </c>
      <c r="C8" s="4" t="s">
        <v>188</v>
      </c>
      <c r="D8" s="34">
        <v>5.64E-3</v>
      </c>
      <c r="E8" s="41">
        <v>0</v>
      </c>
      <c r="F8" s="41">
        <v>0</v>
      </c>
      <c r="G8" s="41">
        <v>0</v>
      </c>
      <c r="H8" s="41">
        <v>0</v>
      </c>
      <c r="I8" s="41">
        <v>0</v>
      </c>
      <c r="J8" s="31">
        <f>'03_FBA_Nivel1_Transfer'!H8</f>
        <v>0</v>
      </c>
      <c r="K8" s="32">
        <f>'03_FBA_Nivel1_Transfer'!I8</f>
        <v>0</v>
      </c>
      <c r="L8" s="32">
        <f t="shared" si="0"/>
        <v>0</v>
      </c>
      <c r="M8" s="32">
        <f t="shared" si="1"/>
        <v>0</v>
      </c>
      <c r="N8" s="32">
        <f t="shared" si="2"/>
        <v>0</v>
      </c>
      <c r="O8" s="47">
        <f t="shared" si="3"/>
        <v>0</v>
      </c>
      <c r="P8" s="41">
        <f t="shared" si="4"/>
        <v>0</v>
      </c>
      <c r="Q8" s="32">
        <f t="shared" si="5"/>
        <v>0</v>
      </c>
      <c r="R8" s="31" t="str">
        <f t="shared" si="6"/>
        <v/>
      </c>
      <c r="S8" s="6" t="str">
        <f t="shared" si="7"/>
        <v>HEALTHY</v>
      </c>
      <c r="T8" s="32">
        <f t="shared" si="8"/>
        <v>0</v>
      </c>
      <c r="U8" s="32">
        <f t="shared" si="9"/>
        <v>0</v>
      </c>
      <c r="V8" s="4" t="str">
        <f t="shared" si="10"/>
        <v>-</v>
      </c>
      <c r="W8" s="41">
        <f t="shared" si="11"/>
        <v>0</v>
      </c>
      <c r="X8" s="5" t="str">
        <f t="shared" si="12"/>
        <v>Clear</v>
      </c>
    </row>
    <row r="9" spans="1:24" x14ac:dyDescent="0.3">
      <c r="A9" s="36" t="s">
        <v>189</v>
      </c>
      <c r="B9" s="16" t="s">
        <v>165</v>
      </c>
      <c r="C9" s="4" t="s">
        <v>188</v>
      </c>
      <c r="D9" s="34">
        <v>5.64E-3</v>
      </c>
      <c r="E9" s="41">
        <v>0</v>
      </c>
      <c r="F9" s="41">
        <v>0</v>
      </c>
      <c r="G9" s="41">
        <v>0</v>
      </c>
      <c r="H9" s="41">
        <v>0</v>
      </c>
      <c r="I9" s="41">
        <v>0</v>
      </c>
      <c r="J9" s="31">
        <f>'03_FBA_Nivel1_Transfer'!H9</f>
        <v>0</v>
      </c>
      <c r="K9" s="32">
        <f>'03_FBA_Nivel1_Transfer'!I9</f>
        <v>0</v>
      </c>
      <c r="L9" s="32">
        <f t="shared" si="0"/>
        <v>0</v>
      </c>
      <c r="M9" s="32">
        <f t="shared" si="1"/>
        <v>0</v>
      </c>
      <c r="N9" s="32">
        <f t="shared" si="2"/>
        <v>0</v>
      </c>
      <c r="O9" s="47">
        <f t="shared" si="3"/>
        <v>0</v>
      </c>
      <c r="P9" s="41">
        <f t="shared" si="4"/>
        <v>0</v>
      </c>
      <c r="Q9" s="32">
        <f t="shared" si="5"/>
        <v>0</v>
      </c>
      <c r="R9" s="31" t="str">
        <f t="shared" si="6"/>
        <v/>
      </c>
      <c r="S9" s="6" t="str">
        <f t="shared" si="7"/>
        <v>HEALTHY</v>
      </c>
      <c r="T9" s="32">
        <f t="shared" si="8"/>
        <v>0</v>
      </c>
      <c r="U9" s="32">
        <f t="shared" si="9"/>
        <v>0</v>
      </c>
      <c r="V9" s="4" t="str">
        <f t="shared" si="10"/>
        <v>-</v>
      </c>
      <c r="W9" s="41">
        <f t="shared" si="11"/>
        <v>0</v>
      </c>
      <c r="X9" s="5" t="str">
        <f t="shared" si="12"/>
        <v>Clear</v>
      </c>
    </row>
    <row r="10" spans="1:24" x14ac:dyDescent="0.3">
      <c r="A10" s="36" t="s">
        <v>193</v>
      </c>
      <c r="B10" s="16" t="s">
        <v>165</v>
      </c>
      <c r="C10" s="4" t="s">
        <v>188</v>
      </c>
      <c r="D10" s="34">
        <v>5.64E-3</v>
      </c>
      <c r="E10" s="41">
        <v>44</v>
      </c>
      <c r="F10" s="41">
        <v>26</v>
      </c>
      <c r="G10" s="41">
        <v>17</v>
      </c>
      <c r="H10" s="41">
        <v>0</v>
      </c>
      <c r="I10" s="41">
        <v>0</v>
      </c>
      <c r="J10" s="31">
        <f>'03_FBA_Nivel1_Transfer'!H10</f>
        <v>257.36</v>
      </c>
      <c r="K10" s="32">
        <f>'03_FBA_Nivel1_Transfer'!I10</f>
        <v>0</v>
      </c>
      <c r="L10" s="32">
        <f t="shared" si="0"/>
        <v>9.5880000000000007E-2</v>
      </c>
      <c r="M10" s="32">
        <f t="shared" si="1"/>
        <v>0</v>
      </c>
      <c r="N10" s="32">
        <f t="shared" si="2"/>
        <v>0</v>
      </c>
      <c r="O10" s="47">
        <f t="shared" si="3"/>
        <v>9.5880000000000007E-2</v>
      </c>
      <c r="P10" s="41">
        <f t="shared" si="4"/>
        <v>17</v>
      </c>
      <c r="Q10" s="32">
        <f t="shared" si="5"/>
        <v>14.28</v>
      </c>
      <c r="R10" s="31">
        <f t="shared" si="6"/>
        <v>148.93617021276594</v>
      </c>
      <c r="S10" s="6" t="str">
        <f t="shared" si="7"/>
        <v>DISCOUNT 25% NOW</v>
      </c>
      <c r="T10" s="32">
        <f t="shared" si="8"/>
        <v>1.15056</v>
      </c>
      <c r="U10" s="32">
        <f t="shared" si="9"/>
        <v>0</v>
      </c>
      <c r="V10" s="4" t="str">
        <f t="shared" si="10"/>
        <v>Before 14th 23:59 PT</v>
      </c>
      <c r="W10" s="41">
        <f t="shared" si="11"/>
        <v>17</v>
      </c>
      <c r="X10" s="5" t="str">
        <f t="shared" si="12"/>
        <v>Discount to accelerate FIFO</v>
      </c>
    </row>
    <row r="11" spans="1:24" x14ac:dyDescent="0.3">
      <c r="A11" s="36" t="s">
        <v>196</v>
      </c>
      <c r="B11" s="16" t="s">
        <v>165</v>
      </c>
      <c r="C11" s="4" t="s">
        <v>188</v>
      </c>
      <c r="D11" s="34">
        <v>5.64E-3</v>
      </c>
      <c r="E11" s="41">
        <v>0</v>
      </c>
      <c r="F11" s="41">
        <v>0</v>
      </c>
      <c r="G11" s="41">
        <v>0</v>
      </c>
      <c r="H11" s="41">
        <v>0</v>
      </c>
      <c r="I11" s="41">
        <v>0</v>
      </c>
      <c r="J11" s="31">
        <f>'03_FBA_Nivel1_Transfer'!H11</f>
        <v>0</v>
      </c>
      <c r="K11" s="32">
        <f>'03_FBA_Nivel1_Transfer'!I11</f>
        <v>0</v>
      </c>
      <c r="L11" s="32">
        <f t="shared" si="0"/>
        <v>0</v>
      </c>
      <c r="M11" s="32">
        <f t="shared" si="1"/>
        <v>0</v>
      </c>
      <c r="N11" s="32">
        <f t="shared" si="2"/>
        <v>0</v>
      </c>
      <c r="O11" s="47">
        <f t="shared" si="3"/>
        <v>0</v>
      </c>
      <c r="P11" s="41">
        <f t="shared" si="4"/>
        <v>0</v>
      </c>
      <c r="Q11" s="32">
        <f t="shared" si="5"/>
        <v>0</v>
      </c>
      <c r="R11" s="31" t="str">
        <f t="shared" si="6"/>
        <v/>
      </c>
      <c r="S11" s="6" t="str">
        <f t="shared" si="7"/>
        <v>HEALTHY</v>
      </c>
      <c r="T11" s="32">
        <f t="shared" si="8"/>
        <v>0</v>
      </c>
      <c r="U11" s="32">
        <f t="shared" si="9"/>
        <v>0</v>
      </c>
      <c r="V11" s="4" t="str">
        <f t="shared" si="10"/>
        <v>-</v>
      </c>
      <c r="W11" s="41">
        <f t="shared" si="11"/>
        <v>0</v>
      </c>
      <c r="X11" s="5" t="str">
        <f t="shared" si="12"/>
        <v>Clear</v>
      </c>
    </row>
    <row r="12" spans="1:24" x14ac:dyDescent="0.3">
      <c r="A12" s="36" t="s">
        <v>200</v>
      </c>
      <c r="B12" s="16" t="s">
        <v>165</v>
      </c>
      <c r="C12" s="4" t="s">
        <v>188</v>
      </c>
      <c r="D12" s="34">
        <v>5.64E-3</v>
      </c>
      <c r="E12" s="41">
        <v>0</v>
      </c>
      <c r="F12" s="41">
        <v>0</v>
      </c>
      <c r="G12" s="41">
        <v>0</v>
      </c>
      <c r="H12" s="41">
        <v>0</v>
      </c>
      <c r="I12" s="41">
        <v>0</v>
      </c>
      <c r="J12" s="31">
        <f>'03_FBA_Nivel1_Transfer'!H12</f>
        <v>0</v>
      </c>
      <c r="K12" s="32">
        <f>'03_FBA_Nivel1_Transfer'!I12</f>
        <v>0</v>
      </c>
      <c r="L12" s="32">
        <f t="shared" si="0"/>
        <v>0</v>
      </c>
      <c r="M12" s="32">
        <f t="shared" si="1"/>
        <v>0</v>
      </c>
      <c r="N12" s="32">
        <f t="shared" si="2"/>
        <v>0</v>
      </c>
      <c r="O12" s="47">
        <f t="shared" si="3"/>
        <v>0</v>
      </c>
      <c r="P12" s="41">
        <f t="shared" si="4"/>
        <v>0</v>
      </c>
      <c r="Q12" s="32">
        <f t="shared" si="5"/>
        <v>0</v>
      </c>
      <c r="R12" s="31" t="str">
        <f t="shared" si="6"/>
        <v/>
      </c>
      <c r="S12" s="6" t="str">
        <f t="shared" si="7"/>
        <v>HEALTHY</v>
      </c>
      <c r="T12" s="32">
        <f t="shared" si="8"/>
        <v>0</v>
      </c>
      <c r="U12" s="32">
        <f t="shared" si="9"/>
        <v>0</v>
      </c>
      <c r="V12" s="4" t="str">
        <f t="shared" si="10"/>
        <v>-</v>
      </c>
      <c r="W12" s="41">
        <f t="shared" si="11"/>
        <v>0</v>
      </c>
      <c r="X12" s="5" t="str">
        <f t="shared" si="12"/>
        <v>Clear</v>
      </c>
    </row>
    <row r="13" spans="1:24" x14ac:dyDescent="0.3">
      <c r="A13" s="36" t="s">
        <v>203</v>
      </c>
      <c r="B13" s="16" t="s">
        <v>165</v>
      </c>
      <c r="C13" s="4" t="s">
        <v>188</v>
      </c>
      <c r="D13" s="34">
        <v>5.64E-3</v>
      </c>
      <c r="E13" s="41">
        <v>0</v>
      </c>
      <c r="F13" s="41">
        <v>0</v>
      </c>
      <c r="G13" s="41">
        <v>0</v>
      </c>
      <c r="H13" s="41">
        <v>0</v>
      </c>
      <c r="I13" s="41">
        <v>0</v>
      </c>
      <c r="J13" s="31">
        <f>'03_FBA_Nivel1_Transfer'!H13</f>
        <v>0</v>
      </c>
      <c r="K13" s="32">
        <f>'03_FBA_Nivel1_Transfer'!I13</f>
        <v>0</v>
      </c>
      <c r="L13" s="32">
        <f t="shared" si="0"/>
        <v>0</v>
      </c>
      <c r="M13" s="32">
        <f t="shared" si="1"/>
        <v>0</v>
      </c>
      <c r="N13" s="32">
        <f t="shared" si="2"/>
        <v>0</v>
      </c>
      <c r="O13" s="47">
        <f t="shared" si="3"/>
        <v>0</v>
      </c>
      <c r="P13" s="41">
        <f t="shared" si="4"/>
        <v>0</v>
      </c>
      <c r="Q13" s="32">
        <f t="shared" si="5"/>
        <v>0</v>
      </c>
      <c r="R13" s="31" t="str">
        <f t="shared" si="6"/>
        <v/>
      </c>
      <c r="S13" s="6" t="str">
        <f t="shared" si="7"/>
        <v>HEALTHY</v>
      </c>
      <c r="T13" s="32">
        <f t="shared" si="8"/>
        <v>0</v>
      </c>
      <c r="U13" s="32">
        <f t="shared" si="9"/>
        <v>0</v>
      </c>
      <c r="V13" s="4" t="str">
        <f t="shared" si="10"/>
        <v>-</v>
      </c>
      <c r="W13" s="41">
        <f t="shared" si="11"/>
        <v>0</v>
      </c>
      <c r="X13" s="5" t="str">
        <f t="shared" si="12"/>
        <v>Clear</v>
      </c>
    </row>
    <row r="14" spans="1:24" x14ac:dyDescent="0.3">
      <c r="A14" s="36" t="s">
        <v>207</v>
      </c>
      <c r="B14" s="16" t="s">
        <v>165</v>
      </c>
      <c r="C14" s="4" t="s">
        <v>188</v>
      </c>
      <c r="D14" s="34">
        <v>5.64E-3</v>
      </c>
      <c r="E14" s="41">
        <v>0</v>
      </c>
      <c r="F14" s="41">
        <v>0</v>
      </c>
      <c r="G14" s="41">
        <v>0</v>
      </c>
      <c r="H14" s="41">
        <v>0</v>
      </c>
      <c r="I14" s="41">
        <v>0</v>
      </c>
      <c r="J14" s="31">
        <f>'03_FBA_Nivel1_Transfer'!H14</f>
        <v>0</v>
      </c>
      <c r="K14" s="32">
        <f>'03_FBA_Nivel1_Transfer'!I14</f>
        <v>0</v>
      </c>
      <c r="L14" s="32">
        <f t="shared" si="0"/>
        <v>0</v>
      </c>
      <c r="M14" s="32">
        <f t="shared" si="1"/>
        <v>0</v>
      </c>
      <c r="N14" s="32">
        <f t="shared" si="2"/>
        <v>0</v>
      </c>
      <c r="O14" s="47">
        <f t="shared" si="3"/>
        <v>0</v>
      </c>
      <c r="P14" s="41">
        <f t="shared" si="4"/>
        <v>0</v>
      </c>
      <c r="Q14" s="32">
        <f t="shared" si="5"/>
        <v>0</v>
      </c>
      <c r="R14" s="31" t="str">
        <f t="shared" si="6"/>
        <v/>
      </c>
      <c r="S14" s="6" t="str">
        <f t="shared" si="7"/>
        <v>HEALTHY</v>
      </c>
      <c r="T14" s="32">
        <f t="shared" si="8"/>
        <v>0</v>
      </c>
      <c r="U14" s="32">
        <f t="shared" si="9"/>
        <v>0</v>
      </c>
      <c r="V14" s="4" t="str">
        <f t="shared" si="10"/>
        <v>-</v>
      </c>
      <c r="W14" s="41">
        <f t="shared" si="11"/>
        <v>0</v>
      </c>
      <c r="X14" s="5" t="str">
        <f t="shared" si="12"/>
        <v>Clear</v>
      </c>
    </row>
    <row r="15" spans="1:24" x14ac:dyDescent="0.3">
      <c r="A15" s="36" t="s">
        <v>210</v>
      </c>
      <c r="B15" s="16" t="s">
        <v>165</v>
      </c>
      <c r="C15" s="4" t="s">
        <v>188</v>
      </c>
      <c r="D15" s="34">
        <v>5.64E-3</v>
      </c>
      <c r="E15" s="41">
        <v>63</v>
      </c>
      <c r="F15" s="41">
        <v>37</v>
      </c>
      <c r="G15" s="41">
        <v>25</v>
      </c>
      <c r="H15" s="41">
        <v>0</v>
      </c>
      <c r="I15" s="41">
        <v>0</v>
      </c>
      <c r="J15" s="31">
        <f>'03_FBA_Nivel1_Transfer'!H15</f>
        <v>607.79999999999995</v>
      </c>
      <c r="K15" s="32">
        <f>'03_FBA_Nivel1_Transfer'!I15</f>
        <v>0</v>
      </c>
      <c r="L15" s="32">
        <f t="shared" si="0"/>
        <v>0.14100000000000001</v>
      </c>
      <c r="M15" s="32">
        <f t="shared" si="1"/>
        <v>0</v>
      </c>
      <c r="N15" s="32">
        <f t="shared" si="2"/>
        <v>0</v>
      </c>
      <c r="O15" s="47">
        <f t="shared" si="3"/>
        <v>0.14100000000000001</v>
      </c>
      <c r="P15" s="41">
        <f t="shared" si="4"/>
        <v>25</v>
      </c>
      <c r="Q15" s="32">
        <f t="shared" si="5"/>
        <v>21</v>
      </c>
      <c r="R15" s="31">
        <f t="shared" si="6"/>
        <v>148.93617021276594</v>
      </c>
      <c r="S15" s="6" t="str">
        <f t="shared" si="7"/>
        <v>DISCOUNT 25% NOW</v>
      </c>
      <c r="T15" s="32">
        <f t="shared" si="8"/>
        <v>1.6920000000000002</v>
      </c>
      <c r="U15" s="32">
        <f t="shared" si="9"/>
        <v>0</v>
      </c>
      <c r="V15" s="4" t="str">
        <f t="shared" si="10"/>
        <v>Before 14th 23:59 PT</v>
      </c>
      <c r="W15" s="41">
        <f t="shared" si="11"/>
        <v>25</v>
      </c>
      <c r="X15" s="5" t="str">
        <f t="shared" si="12"/>
        <v>Discount to accelerate FIFO</v>
      </c>
    </row>
    <row r="16" spans="1:24" x14ac:dyDescent="0.3">
      <c r="A16" s="36" t="s">
        <v>214</v>
      </c>
      <c r="B16" s="16" t="s">
        <v>165</v>
      </c>
      <c r="C16" s="4" t="s">
        <v>188</v>
      </c>
      <c r="D16" s="34">
        <v>5.64E-3</v>
      </c>
      <c r="E16" s="41">
        <v>0</v>
      </c>
      <c r="F16" s="41">
        <v>0</v>
      </c>
      <c r="G16" s="41">
        <v>0</v>
      </c>
      <c r="H16" s="41">
        <v>0</v>
      </c>
      <c r="I16" s="41">
        <v>0</v>
      </c>
      <c r="J16" s="31">
        <f>'03_FBA_Nivel1_Transfer'!H16</f>
        <v>0</v>
      </c>
      <c r="K16" s="32">
        <f>'03_FBA_Nivel1_Transfer'!I16</f>
        <v>0</v>
      </c>
      <c r="L16" s="32">
        <f t="shared" si="0"/>
        <v>0</v>
      </c>
      <c r="M16" s="32">
        <f t="shared" si="1"/>
        <v>0</v>
      </c>
      <c r="N16" s="32">
        <f t="shared" si="2"/>
        <v>0</v>
      </c>
      <c r="O16" s="47">
        <f t="shared" si="3"/>
        <v>0</v>
      </c>
      <c r="P16" s="41">
        <f t="shared" si="4"/>
        <v>0</v>
      </c>
      <c r="Q16" s="32">
        <f t="shared" si="5"/>
        <v>0</v>
      </c>
      <c r="R16" s="31" t="str">
        <f t="shared" si="6"/>
        <v/>
      </c>
      <c r="S16" s="6" t="str">
        <f t="shared" si="7"/>
        <v>HEALTHY</v>
      </c>
      <c r="T16" s="32">
        <f t="shared" si="8"/>
        <v>0</v>
      </c>
      <c r="U16" s="32">
        <f t="shared" si="9"/>
        <v>0</v>
      </c>
      <c r="V16" s="4" t="str">
        <f t="shared" si="10"/>
        <v>-</v>
      </c>
      <c r="W16" s="41">
        <f t="shared" si="11"/>
        <v>0</v>
      </c>
      <c r="X16" s="5" t="str">
        <f t="shared" si="12"/>
        <v>Clear</v>
      </c>
    </row>
    <row r="17" spans="1:24" x14ac:dyDescent="0.3">
      <c r="A17" s="36" t="s">
        <v>217</v>
      </c>
      <c r="B17" s="16" t="s">
        <v>165</v>
      </c>
      <c r="C17" s="4" t="s">
        <v>221</v>
      </c>
      <c r="D17" s="34">
        <v>5.64E-3</v>
      </c>
      <c r="E17" s="41">
        <v>0</v>
      </c>
      <c r="F17" s="41">
        <v>0</v>
      </c>
      <c r="G17" s="41">
        <v>0</v>
      </c>
      <c r="H17" s="41">
        <v>0</v>
      </c>
      <c r="I17" s="41">
        <v>0</v>
      </c>
      <c r="J17" s="31">
        <f>'03_FBA_Nivel1_Transfer'!H17</f>
        <v>4.38</v>
      </c>
      <c r="K17" s="32">
        <f>'03_FBA_Nivel1_Transfer'!I17</f>
        <v>0</v>
      </c>
      <c r="L17" s="32">
        <f t="shared" si="0"/>
        <v>0</v>
      </c>
      <c r="M17" s="32">
        <f t="shared" si="1"/>
        <v>0</v>
      </c>
      <c r="N17" s="32">
        <f t="shared" si="2"/>
        <v>0</v>
      </c>
      <c r="O17" s="47">
        <f t="shared" si="3"/>
        <v>0</v>
      </c>
      <c r="P17" s="41">
        <f t="shared" si="4"/>
        <v>0</v>
      </c>
      <c r="Q17" s="32">
        <f t="shared" si="5"/>
        <v>0</v>
      </c>
      <c r="R17" s="31" t="str">
        <f t="shared" si="6"/>
        <v/>
      </c>
      <c r="S17" s="6" t="str">
        <f t="shared" si="7"/>
        <v>HEALTHY</v>
      </c>
      <c r="T17" s="32">
        <f t="shared" si="8"/>
        <v>0</v>
      </c>
      <c r="U17" s="32">
        <f t="shared" si="9"/>
        <v>0</v>
      </c>
      <c r="V17" s="4" t="str">
        <f t="shared" si="10"/>
        <v>-</v>
      </c>
      <c r="W17" s="41">
        <f t="shared" si="11"/>
        <v>0</v>
      </c>
      <c r="X17" s="5" t="str">
        <f t="shared" si="12"/>
        <v>Clear</v>
      </c>
    </row>
    <row r="18" spans="1:24" x14ac:dyDescent="0.3">
      <c r="A18" s="36" t="s">
        <v>222</v>
      </c>
      <c r="B18" s="16" t="s">
        <v>165</v>
      </c>
      <c r="C18" s="4" t="s">
        <v>221</v>
      </c>
      <c r="D18" s="34">
        <v>5.64E-3</v>
      </c>
      <c r="E18" s="41">
        <v>421</v>
      </c>
      <c r="F18" s="41">
        <v>197</v>
      </c>
      <c r="G18" s="41">
        <v>40</v>
      </c>
      <c r="H18" s="41">
        <v>0</v>
      </c>
      <c r="I18" s="41">
        <v>0</v>
      </c>
      <c r="J18" s="31">
        <f>'03_FBA_Nivel1_Transfer'!H18</f>
        <v>37.85</v>
      </c>
      <c r="K18" s="32">
        <f>'03_FBA_Nivel1_Transfer'!I18</f>
        <v>0</v>
      </c>
      <c r="L18" s="32">
        <f t="shared" si="0"/>
        <v>0.22559999999999999</v>
      </c>
      <c r="M18" s="32">
        <f t="shared" si="1"/>
        <v>0</v>
      </c>
      <c r="N18" s="32">
        <f t="shared" si="2"/>
        <v>0</v>
      </c>
      <c r="O18" s="47">
        <f t="shared" si="3"/>
        <v>0.22559999999999999</v>
      </c>
      <c r="P18" s="41">
        <f t="shared" si="4"/>
        <v>40</v>
      </c>
      <c r="Q18" s="32">
        <f t="shared" si="5"/>
        <v>33.6</v>
      </c>
      <c r="R18" s="31">
        <f t="shared" si="6"/>
        <v>148.93617021276597</v>
      </c>
      <c r="S18" s="6" t="str">
        <f t="shared" si="7"/>
        <v>DISCOUNT 25% NOW</v>
      </c>
      <c r="T18" s="32">
        <f t="shared" si="8"/>
        <v>2.7071999999999998</v>
      </c>
      <c r="U18" s="32">
        <f t="shared" si="9"/>
        <v>0</v>
      </c>
      <c r="V18" s="4" t="str">
        <f t="shared" si="10"/>
        <v>Before 14th 23:59 PT</v>
      </c>
      <c r="W18" s="41">
        <f t="shared" si="11"/>
        <v>40</v>
      </c>
      <c r="X18" s="5" t="str">
        <f t="shared" si="12"/>
        <v>Discount to accelerate FIFO</v>
      </c>
    </row>
    <row r="19" spans="1:24" x14ac:dyDescent="0.3">
      <c r="A19" s="36" t="s">
        <v>225</v>
      </c>
      <c r="B19" s="16" t="s">
        <v>165</v>
      </c>
      <c r="C19" s="4" t="s">
        <v>221</v>
      </c>
      <c r="D19" s="34">
        <v>5.64E-3</v>
      </c>
      <c r="E19" s="41">
        <v>0</v>
      </c>
      <c r="F19" s="41">
        <v>0</v>
      </c>
      <c r="G19" s="41">
        <v>0</v>
      </c>
      <c r="H19" s="41">
        <v>0</v>
      </c>
      <c r="I19" s="41">
        <v>0</v>
      </c>
      <c r="J19" s="31">
        <f>'03_FBA_Nivel1_Transfer'!H19</f>
        <v>11.67</v>
      </c>
      <c r="K19" s="32">
        <f>'03_FBA_Nivel1_Transfer'!I19</f>
        <v>0.89</v>
      </c>
      <c r="L19" s="32">
        <f t="shared" si="0"/>
        <v>0</v>
      </c>
      <c r="M19" s="32">
        <f t="shared" si="1"/>
        <v>0</v>
      </c>
      <c r="N19" s="32">
        <f t="shared" si="2"/>
        <v>0</v>
      </c>
      <c r="O19" s="47">
        <f t="shared" si="3"/>
        <v>0</v>
      </c>
      <c r="P19" s="41">
        <f t="shared" si="4"/>
        <v>0</v>
      </c>
      <c r="Q19" s="32">
        <f t="shared" si="5"/>
        <v>0</v>
      </c>
      <c r="R19" s="31" t="str">
        <f t="shared" si="6"/>
        <v/>
      </c>
      <c r="S19" s="6" t="str">
        <f t="shared" si="7"/>
        <v>HEALTHY</v>
      </c>
      <c r="T19" s="32">
        <f t="shared" si="8"/>
        <v>0</v>
      </c>
      <c r="U19" s="32">
        <f t="shared" si="9"/>
        <v>0</v>
      </c>
      <c r="V19" s="4" t="str">
        <f t="shared" si="10"/>
        <v>-</v>
      </c>
      <c r="W19" s="41">
        <f t="shared" si="11"/>
        <v>0</v>
      </c>
      <c r="X19" s="5" t="str">
        <f t="shared" si="12"/>
        <v>Clear</v>
      </c>
    </row>
    <row r="20" spans="1:24" x14ac:dyDescent="0.3">
      <c r="A20" s="36" t="s">
        <v>228</v>
      </c>
      <c r="B20" s="16" t="s">
        <v>165</v>
      </c>
      <c r="C20" s="4" t="s">
        <v>221</v>
      </c>
      <c r="D20" s="34">
        <v>5.64E-3</v>
      </c>
      <c r="E20" s="41">
        <v>149</v>
      </c>
      <c r="F20" s="41">
        <v>70</v>
      </c>
      <c r="G20" s="41">
        <v>14</v>
      </c>
      <c r="H20" s="41">
        <v>0</v>
      </c>
      <c r="I20" s="41">
        <v>0</v>
      </c>
      <c r="J20" s="31">
        <f>'03_FBA_Nivel1_Transfer'!H20</f>
        <v>27.34</v>
      </c>
      <c r="K20" s="32">
        <f>'03_FBA_Nivel1_Transfer'!I20</f>
        <v>0.32</v>
      </c>
      <c r="L20" s="32">
        <f t="shared" si="0"/>
        <v>7.8960000000000002E-2</v>
      </c>
      <c r="M20" s="32">
        <f t="shared" si="1"/>
        <v>0</v>
      </c>
      <c r="N20" s="32">
        <f t="shared" si="2"/>
        <v>0</v>
      </c>
      <c r="O20" s="47">
        <f t="shared" si="3"/>
        <v>7.8960000000000002E-2</v>
      </c>
      <c r="P20" s="41">
        <f t="shared" si="4"/>
        <v>14</v>
      </c>
      <c r="Q20" s="32">
        <f t="shared" si="5"/>
        <v>11.76</v>
      </c>
      <c r="R20" s="31">
        <f t="shared" si="6"/>
        <v>148.93617021276594</v>
      </c>
      <c r="S20" s="6" t="str">
        <f t="shared" si="7"/>
        <v>DISCOUNT 25% NOW</v>
      </c>
      <c r="T20" s="32">
        <f t="shared" si="8"/>
        <v>0.94752000000000003</v>
      </c>
      <c r="U20" s="32">
        <f t="shared" si="9"/>
        <v>0</v>
      </c>
      <c r="V20" s="4" t="str">
        <f t="shared" si="10"/>
        <v>Before 14th 23:59 PT</v>
      </c>
      <c r="W20" s="41">
        <f t="shared" si="11"/>
        <v>14</v>
      </c>
      <c r="X20" s="5" t="str">
        <f t="shared" si="12"/>
        <v>Discount to accelerate FIFO</v>
      </c>
    </row>
    <row r="21" spans="1:24" x14ac:dyDescent="0.3">
      <c r="A21" s="36" t="s">
        <v>231</v>
      </c>
      <c r="B21" s="16" t="s">
        <v>165</v>
      </c>
      <c r="C21" s="4" t="s">
        <v>221</v>
      </c>
      <c r="D21" s="34">
        <v>5.64E-3</v>
      </c>
      <c r="E21" s="41">
        <v>359</v>
      </c>
      <c r="F21" s="41">
        <v>168</v>
      </c>
      <c r="G21" s="41">
        <v>34</v>
      </c>
      <c r="H21" s="41">
        <v>0</v>
      </c>
      <c r="I21" s="41">
        <v>0</v>
      </c>
      <c r="J21" s="31">
        <f>'03_FBA_Nivel1_Transfer'!H21</f>
        <v>27.3</v>
      </c>
      <c r="K21" s="32">
        <f>'03_FBA_Nivel1_Transfer'!I21</f>
        <v>0.32</v>
      </c>
      <c r="L21" s="32">
        <f t="shared" si="0"/>
        <v>0.19176000000000001</v>
      </c>
      <c r="M21" s="32">
        <f t="shared" si="1"/>
        <v>0</v>
      </c>
      <c r="N21" s="32">
        <f t="shared" si="2"/>
        <v>0</v>
      </c>
      <c r="O21" s="47">
        <f t="shared" si="3"/>
        <v>0.19176000000000001</v>
      </c>
      <c r="P21" s="41">
        <f t="shared" si="4"/>
        <v>34</v>
      </c>
      <c r="Q21" s="32">
        <f t="shared" si="5"/>
        <v>28.56</v>
      </c>
      <c r="R21" s="31">
        <f t="shared" si="6"/>
        <v>148.93617021276594</v>
      </c>
      <c r="S21" s="6" t="str">
        <f t="shared" si="7"/>
        <v>DISCOUNT 25% NOW</v>
      </c>
      <c r="T21" s="32">
        <f t="shared" si="8"/>
        <v>2.3011200000000001</v>
      </c>
      <c r="U21" s="32">
        <f t="shared" si="9"/>
        <v>0</v>
      </c>
      <c r="V21" s="4" t="str">
        <f t="shared" si="10"/>
        <v>Before 14th 23:59 PT</v>
      </c>
      <c r="W21" s="41">
        <f t="shared" si="11"/>
        <v>34</v>
      </c>
      <c r="X21" s="5" t="str">
        <f t="shared" si="12"/>
        <v>Discount to accelerate FIFO</v>
      </c>
    </row>
    <row r="22" spans="1:24" x14ac:dyDescent="0.3">
      <c r="A22" s="36" t="s">
        <v>234</v>
      </c>
      <c r="B22" s="16" t="s">
        <v>165</v>
      </c>
      <c r="C22" s="4" t="s">
        <v>184</v>
      </c>
      <c r="D22" s="34">
        <v>5.64E-3</v>
      </c>
      <c r="E22" s="41">
        <v>0</v>
      </c>
      <c r="F22" s="41">
        <v>0</v>
      </c>
      <c r="G22" s="41">
        <v>0</v>
      </c>
      <c r="H22" s="41">
        <v>0</v>
      </c>
      <c r="I22" s="41">
        <v>0</v>
      </c>
      <c r="J22" s="31">
        <f>'03_FBA_Nivel1_Transfer'!H22</f>
        <v>25.37</v>
      </c>
      <c r="K22" s="32">
        <f>'03_FBA_Nivel1_Transfer'!I22</f>
        <v>0</v>
      </c>
      <c r="L22" s="32">
        <f t="shared" si="0"/>
        <v>0</v>
      </c>
      <c r="M22" s="32">
        <f t="shared" si="1"/>
        <v>0</v>
      </c>
      <c r="N22" s="32">
        <f t="shared" si="2"/>
        <v>0</v>
      </c>
      <c r="O22" s="47">
        <f t="shared" si="3"/>
        <v>0</v>
      </c>
      <c r="P22" s="41">
        <f t="shared" si="4"/>
        <v>0</v>
      </c>
      <c r="Q22" s="32">
        <f t="shared" si="5"/>
        <v>0</v>
      </c>
      <c r="R22" s="31" t="str">
        <f t="shared" si="6"/>
        <v/>
      </c>
      <c r="S22" s="6" t="str">
        <f t="shared" si="7"/>
        <v>HEALTHY</v>
      </c>
      <c r="T22" s="32">
        <f t="shared" si="8"/>
        <v>0</v>
      </c>
      <c r="U22" s="32">
        <f t="shared" si="9"/>
        <v>0</v>
      </c>
      <c r="V22" s="4" t="str">
        <f t="shared" si="10"/>
        <v>-</v>
      </c>
      <c r="W22" s="41">
        <f t="shared" si="11"/>
        <v>0</v>
      </c>
      <c r="X22" s="5" t="str">
        <f t="shared" si="12"/>
        <v>Clear</v>
      </c>
    </row>
    <row r="23" spans="1:24" x14ac:dyDescent="0.3">
      <c r="A23" s="36" t="s">
        <v>237</v>
      </c>
      <c r="B23" s="16" t="s">
        <v>165</v>
      </c>
      <c r="C23" s="4" t="s">
        <v>221</v>
      </c>
      <c r="D23" s="34">
        <v>5.64E-3</v>
      </c>
      <c r="E23" s="41">
        <v>0</v>
      </c>
      <c r="F23" s="41">
        <v>0</v>
      </c>
      <c r="G23" s="41">
        <v>0</v>
      </c>
      <c r="H23" s="41">
        <v>0</v>
      </c>
      <c r="I23" s="41">
        <v>0</v>
      </c>
      <c r="J23" s="31">
        <f>'03_FBA_Nivel1_Transfer'!H23</f>
        <v>22.95</v>
      </c>
      <c r="K23" s="32">
        <f>'03_FBA_Nivel1_Transfer'!I23</f>
        <v>0.32</v>
      </c>
      <c r="L23" s="32">
        <f t="shared" si="0"/>
        <v>0</v>
      </c>
      <c r="M23" s="32">
        <f t="shared" si="1"/>
        <v>0</v>
      </c>
      <c r="N23" s="32">
        <f t="shared" si="2"/>
        <v>0</v>
      </c>
      <c r="O23" s="47">
        <f t="shared" si="3"/>
        <v>0</v>
      </c>
      <c r="P23" s="41">
        <f t="shared" si="4"/>
        <v>0</v>
      </c>
      <c r="Q23" s="32">
        <f t="shared" si="5"/>
        <v>0</v>
      </c>
      <c r="R23" s="31" t="str">
        <f t="shared" si="6"/>
        <v/>
      </c>
      <c r="S23" s="6" t="str">
        <f t="shared" si="7"/>
        <v>HEALTHY</v>
      </c>
      <c r="T23" s="32">
        <f t="shared" si="8"/>
        <v>0</v>
      </c>
      <c r="U23" s="32">
        <f t="shared" si="9"/>
        <v>0</v>
      </c>
      <c r="V23" s="4" t="str">
        <f t="shared" si="10"/>
        <v>-</v>
      </c>
      <c r="W23" s="41">
        <f t="shared" si="11"/>
        <v>0</v>
      </c>
      <c r="X23" s="5" t="str">
        <f t="shared" si="12"/>
        <v>Clear</v>
      </c>
    </row>
    <row r="24" spans="1:24" x14ac:dyDescent="0.3">
      <c r="A24" s="36" t="s">
        <v>240</v>
      </c>
      <c r="B24" s="16" t="s">
        <v>165</v>
      </c>
      <c r="C24" s="4" t="s">
        <v>184</v>
      </c>
      <c r="D24" s="34">
        <v>5.64E-3</v>
      </c>
      <c r="E24" s="41">
        <v>0</v>
      </c>
      <c r="F24" s="41">
        <v>0</v>
      </c>
      <c r="G24" s="41">
        <v>0</v>
      </c>
      <c r="H24" s="41">
        <v>0</v>
      </c>
      <c r="I24" s="41">
        <v>0</v>
      </c>
      <c r="J24" s="31">
        <f>'03_FBA_Nivel1_Transfer'!H24</f>
        <v>0</v>
      </c>
      <c r="K24" s="32">
        <f>'03_FBA_Nivel1_Transfer'!I24</f>
        <v>0</v>
      </c>
      <c r="L24" s="32">
        <f t="shared" si="0"/>
        <v>0</v>
      </c>
      <c r="M24" s="32">
        <f t="shared" si="1"/>
        <v>0</v>
      </c>
      <c r="N24" s="32">
        <f t="shared" si="2"/>
        <v>0</v>
      </c>
      <c r="O24" s="47">
        <f t="shared" si="3"/>
        <v>0</v>
      </c>
      <c r="P24" s="41">
        <f t="shared" si="4"/>
        <v>0</v>
      </c>
      <c r="Q24" s="32">
        <f t="shared" si="5"/>
        <v>0</v>
      </c>
      <c r="R24" s="31" t="str">
        <f t="shared" si="6"/>
        <v/>
      </c>
      <c r="S24" s="6" t="str">
        <f t="shared" si="7"/>
        <v>HEALTHY</v>
      </c>
      <c r="T24" s="32">
        <f t="shared" si="8"/>
        <v>0</v>
      </c>
      <c r="U24" s="32">
        <f t="shared" si="9"/>
        <v>0</v>
      </c>
      <c r="V24" s="4" t="str">
        <f t="shared" si="10"/>
        <v>-</v>
      </c>
      <c r="W24" s="41">
        <f t="shared" si="11"/>
        <v>0</v>
      </c>
      <c r="X24" s="5" t="str">
        <f t="shared" si="12"/>
        <v>Clear</v>
      </c>
    </row>
    <row r="25" spans="1:24" x14ac:dyDescent="0.3">
      <c r="A25" s="36" t="s">
        <v>243</v>
      </c>
      <c r="B25" s="16" t="s">
        <v>165</v>
      </c>
      <c r="C25" s="4" t="s">
        <v>172</v>
      </c>
      <c r="D25" s="34">
        <v>5.64E-3</v>
      </c>
      <c r="E25" s="41">
        <v>191</v>
      </c>
      <c r="F25" s="41">
        <v>90</v>
      </c>
      <c r="G25" s="41">
        <v>18</v>
      </c>
      <c r="H25" s="41">
        <v>0</v>
      </c>
      <c r="I25" s="41">
        <v>0</v>
      </c>
      <c r="J25" s="31">
        <f>'03_FBA_Nivel1_Transfer'!H25</f>
        <v>37.020000000000003</v>
      </c>
      <c r="K25" s="32">
        <f>'03_FBA_Nivel1_Transfer'!I25</f>
        <v>0</v>
      </c>
      <c r="L25" s="32">
        <f t="shared" si="0"/>
        <v>0.10152</v>
      </c>
      <c r="M25" s="32">
        <f t="shared" si="1"/>
        <v>0</v>
      </c>
      <c r="N25" s="32">
        <f t="shared" si="2"/>
        <v>0</v>
      </c>
      <c r="O25" s="47">
        <f t="shared" si="3"/>
        <v>0.10152</v>
      </c>
      <c r="P25" s="41">
        <f t="shared" si="4"/>
        <v>18</v>
      </c>
      <c r="Q25" s="32">
        <f t="shared" si="5"/>
        <v>15.12</v>
      </c>
      <c r="R25" s="31">
        <f t="shared" si="6"/>
        <v>148.93617021276594</v>
      </c>
      <c r="S25" s="6" t="str">
        <f t="shared" si="7"/>
        <v>DISCOUNT 25% NOW</v>
      </c>
      <c r="T25" s="32">
        <f t="shared" si="8"/>
        <v>1.21824</v>
      </c>
      <c r="U25" s="32">
        <f t="shared" si="9"/>
        <v>0</v>
      </c>
      <c r="V25" s="4" t="str">
        <f t="shared" si="10"/>
        <v>Before 14th 23:59 PT</v>
      </c>
      <c r="W25" s="41">
        <f t="shared" si="11"/>
        <v>18</v>
      </c>
      <c r="X25" s="5" t="str">
        <f t="shared" si="12"/>
        <v>Discount to accelerate FIFO</v>
      </c>
    </row>
    <row r="26" spans="1:24" x14ac:dyDescent="0.3">
      <c r="A26" s="36" t="s">
        <v>246</v>
      </c>
      <c r="B26" s="16" t="s">
        <v>165</v>
      </c>
      <c r="C26" s="4" t="s">
        <v>179</v>
      </c>
      <c r="D26" s="34">
        <v>5.64E-3</v>
      </c>
      <c r="E26" s="41">
        <v>0</v>
      </c>
      <c r="F26" s="41">
        <v>0</v>
      </c>
      <c r="G26" s="41">
        <v>0</v>
      </c>
      <c r="H26" s="41">
        <v>0</v>
      </c>
      <c r="I26" s="41">
        <v>0</v>
      </c>
      <c r="J26" s="31">
        <f>'03_FBA_Nivel1_Transfer'!H26</f>
        <v>2.78</v>
      </c>
      <c r="K26" s="32">
        <f>'03_FBA_Nivel1_Transfer'!I26</f>
        <v>0</v>
      </c>
      <c r="L26" s="32">
        <f t="shared" si="0"/>
        <v>0</v>
      </c>
      <c r="M26" s="32">
        <f t="shared" si="1"/>
        <v>0</v>
      </c>
      <c r="N26" s="32">
        <f t="shared" si="2"/>
        <v>0</v>
      </c>
      <c r="O26" s="47">
        <f t="shared" si="3"/>
        <v>0</v>
      </c>
      <c r="P26" s="41">
        <f t="shared" si="4"/>
        <v>0</v>
      </c>
      <c r="Q26" s="32">
        <f t="shared" si="5"/>
        <v>0</v>
      </c>
      <c r="R26" s="31" t="str">
        <f t="shared" si="6"/>
        <v/>
      </c>
      <c r="S26" s="6" t="str">
        <f t="shared" si="7"/>
        <v>HEALTHY</v>
      </c>
      <c r="T26" s="32">
        <f t="shared" si="8"/>
        <v>0</v>
      </c>
      <c r="U26" s="32">
        <f t="shared" si="9"/>
        <v>0</v>
      </c>
      <c r="V26" s="4" t="str">
        <f t="shared" si="10"/>
        <v>-</v>
      </c>
      <c r="W26" s="41">
        <f t="shared" si="11"/>
        <v>0</v>
      </c>
      <c r="X26" s="5" t="str">
        <f t="shared" si="12"/>
        <v>Clear</v>
      </c>
    </row>
    <row r="27" spans="1:24" x14ac:dyDescent="0.3">
      <c r="A27" s="36" t="s">
        <v>249</v>
      </c>
      <c r="B27" s="16" t="s">
        <v>165</v>
      </c>
      <c r="C27" s="4" t="s">
        <v>179</v>
      </c>
      <c r="D27" s="34">
        <v>5.64E-3</v>
      </c>
      <c r="E27" s="41">
        <v>57</v>
      </c>
      <c r="F27" s="41">
        <v>30</v>
      </c>
      <c r="G27" s="41">
        <v>12</v>
      </c>
      <c r="H27" s="41">
        <v>0</v>
      </c>
      <c r="I27" s="41">
        <v>0</v>
      </c>
      <c r="J27" s="31">
        <f>'03_FBA_Nivel1_Transfer'!H27</f>
        <v>78.3</v>
      </c>
      <c r="K27" s="32">
        <f>'03_FBA_Nivel1_Transfer'!I27</f>
        <v>0</v>
      </c>
      <c r="L27" s="32">
        <f t="shared" si="0"/>
        <v>6.7680000000000004E-2</v>
      </c>
      <c r="M27" s="32">
        <f t="shared" si="1"/>
        <v>0</v>
      </c>
      <c r="N27" s="32">
        <f t="shared" si="2"/>
        <v>0</v>
      </c>
      <c r="O27" s="47">
        <f t="shared" si="3"/>
        <v>6.7680000000000004E-2</v>
      </c>
      <c r="P27" s="41">
        <f t="shared" si="4"/>
        <v>12</v>
      </c>
      <c r="Q27" s="32">
        <f t="shared" si="5"/>
        <v>10.08</v>
      </c>
      <c r="R27" s="31">
        <f t="shared" si="6"/>
        <v>148.93617021276594</v>
      </c>
      <c r="S27" s="6" t="str">
        <f t="shared" si="7"/>
        <v>DISCOUNT 25% NOW</v>
      </c>
      <c r="T27" s="32">
        <f t="shared" si="8"/>
        <v>0.81215999999999999</v>
      </c>
      <c r="U27" s="32">
        <f t="shared" si="9"/>
        <v>0</v>
      </c>
      <c r="V27" s="4" t="str">
        <f t="shared" si="10"/>
        <v>Before 14th 23:59 PT</v>
      </c>
      <c r="W27" s="41">
        <f t="shared" si="11"/>
        <v>12</v>
      </c>
      <c r="X27" s="5" t="str">
        <f t="shared" si="12"/>
        <v>Discount to accelerate FIFO</v>
      </c>
    </row>
    <row r="28" spans="1:24" x14ac:dyDescent="0.3">
      <c r="A28" s="36" t="s">
        <v>252</v>
      </c>
      <c r="B28" s="16" t="s">
        <v>165</v>
      </c>
      <c r="C28" s="4" t="s">
        <v>188</v>
      </c>
      <c r="D28" s="34">
        <v>5.64E-3</v>
      </c>
      <c r="E28" s="41">
        <v>0</v>
      </c>
      <c r="F28" s="41">
        <v>0</v>
      </c>
      <c r="G28" s="41">
        <v>0</v>
      </c>
      <c r="H28" s="41">
        <v>0</v>
      </c>
      <c r="I28" s="41">
        <v>0</v>
      </c>
      <c r="J28" s="31">
        <f>'03_FBA_Nivel1_Transfer'!H28</f>
        <v>0</v>
      </c>
      <c r="K28" s="32">
        <f>'03_FBA_Nivel1_Transfer'!I28</f>
        <v>0</v>
      </c>
      <c r="L28" s="32">
        <f t="shared" si="0"/>
        <v>0</v>
      </c>
      <c r="M28" s="32">
        <f t="shared" si="1"/>
        <v>0</v>
      </c>
      <c r="N28" s="32">
        <f t="shared" si="2"/>
        <v>0</v>
      </c>
      <c r="O28" s="47">
        <f t="shared" si="3"/>
        <v>0</v>
      </c>
      <c r="P28" s="41">
        <f t="shared" si="4"/>
        <v>0</v>
      </c>
      <c r="Q28" s="32">
        <f t="shared" si="5"/>
        <v>0</v>
      </c>
      <c r="R28" s="31" t="str">
        <f t="shared" si="6"/>
        <v/>
      </c>
      <c r="S28" s="6" t="str">
        <f t="shared" si="7"/>
        <v>HEALTHY</v>
      </c>
      <c r="T28" s="32">
        <f t="shared" si="8"/>
        <v>0</v>
      </c>
      <c r="U28" s="32">
        <f t="shared" si="9"/>
        <v>0</v>
      </c>
      <c r="V28" s="4" t="str">
        <f t="shared" si="10"/>
        <v>-</v>
      </c>
      <c r="W28" s="41">
        <f t="shared" si="11"/>
        <v>0</v>
      </c>
      <c r="X28" s="5" t="str">
        <f t="shared" si="12"/>
        <v>Clear</v>
      </c>
    </row>
    <row r="29" spans="1:24" x14ac:dyDescent="0.3">
      <c r="A29" s="36" t="s">
        <v>255</v>
      </c>
      <c r="B29" s="16" t="s">
        <v>165</v>
      </c>
      <c r="C29" s="4" t="s">
        <v>221</v>
      </c>
      <c r="D29" s="34">
        <v>5.64E-3</v>
      </c>
      <c r="E29" s="41">
        <v>579</v>
      </c>
      <c r="F29" s="41">
        <v>272</v>
      </c>
      <c r="G29" s="41">
        <v>54</v>
      </c>
      <c r="H29" s="41">
        <v>0</v>
      </c>
      <c r="I29" s="41">
        <v>0</v>
      </c>
      <c r="J29" s="31">
        <f>'03_FBA_Nivel1_Transfer'!H29</f>
        <v>28.88</v>
      </c>
      <c r="K29" s="32">
        <f>'03_FBA_Nivel1_Transfer'!I29</f>
        <v>0</v>
      </c>
      <c r="L29" s="32">
        <f t="shared" si="0"/>
        <v>0.30456</v>
      </c>
      <c r="M29" s="32">
        <f t="shared" si="1"/>
        <v>0</v>
      </c>
      <c r="N29" s="32">
        <f t="shared" si="2"/>
        <v>0</v>
      </c>
      <c r="O29" s="47">
        <f t="shared" si="3"/>
        <v>0.30456</v>
      </c>
      <c r="P29" s="41">
        <f t="shared" si="4"/>
        <v>54</v>
      </c>
      <c r="Q29" s="32">
        <f t="shared" si="5"/>
        <v>45.36</v>
      </c>
      <c r="R29" s="31">
        <f t="shared" si="6"/>
        <v>148.93617021276594</v>
      </c>
      <c r="S29" s="6" t="str">
        <f t="shared" si="7"/>
        <v>DISCOUNT 25% NOW</v>
      </c>
      <c r="T29" s="32">
        <f t="shared" si="8"/>
        <v>3.6547200000000002</v>
      </c>
      <c r="U29" s="32">
        <f t="shared" si="9"/>
        <v>0</v>
      </c>
      <c r="V29" s="4" t="str">
        <f t="shared" si="10"/>
        <v>Before 14th 23:59 PT</v>
      </c>
      <c r="W29" s="41">
        <f t="shared" si="11"/>
        <v>54</v>
      </c>
      <c r="X29" s="5" t="str">
        <f t="shared" si="12"/>
        <v>Discount to accelerate FIFO</v>
      </c>
    </row>
    <row r="30" spans="1:24" x14ac:dyDescent="0.3">
      <c r="A30" s="36" t="s">
        <v>259</v>
      </c>
      <c r="B30" s="16" t="s">
        <v>165</v>
      </c>
      <c r="C30" s="4" t="s">
        <v>221</v>
      </c>
      <c r="D30" s="34">
        <v>5.64E-3</v>
      </c>
      <c r="E30" s="41">
        <v>0</v>
      </c>
      <c r="F30" s="41">
        <v>0</v>
      </c>
      <c r="G30" s="41">
        <v>0</v>
      </c>
      <c r="H30" s="41">
        <v>0</v>
      </c>
      <c r="I30" s="41">
        <v>0</v>
      </c>
      <c r="J30" s="31">
        <f>'03_FBA_Nivel1_Transfer'!H30</f>
        <v>24.78</v>
      </c>
      <c r="K30" s="32">
        <f>'03_FBA_Nivel1_Transfer'!I30</f>
        <v>0</v>
      </c>
      <c r="L30" s="32">
        <f t="shared" si="0"/>
        <v>0</v>
      </c>
      <c r="M30" s="32">
        <f t="shared" si="1"/>
        <v>0</v>
      </c>
      <c r="N30" s="32">
        <f t="shared" si="2"/>
        <v>0</v>
      </c>
      <c r="O30" s="47">
        <f t="shared" si="3"/>
        <v>0</v>
      </c>
      <c r="P30" s="41">
        <f t="shared" si="4"/>
        <v>0</v>
      </c>
      <c r="Q30" s="32">
        <f t="shared" si="5"/>
        <v>0</v>
      </c>
      <c r="R30" s="31" t="str">
        <f t="shared" si="6"/>
        <v/>
      </c>
      <c r="S30" s="6" t="str">
        <f t="shared" si="7"/>
        <v>HEALTHY</v>
      </c>
      <c r="T30" s="32">
        <f t="shared" si="8"/>
        <v>0</v>
      </c>
      <c r="U30" s="32">
        <f t="shared" si="9"/>
        <v>0</v>
      </c>
      <c r="V30" s="4" t="str">
        <f t="shared" si="10"/>
        <v>-</v>
      </c>
      <c r="W30" s="41">
        <f t="shared" si="11"/>
        <v>0</v>
      </c>
      <c r="X30" s="5" t="str">
        <f t="shared" si="12"/>
        <v>Clear</v>
      </c>
    </row>
    <row r="31" spans="1:24" x14ac:dyDescent="0.3">
      <c r="A31" s="36" t="s">
        <v>262</v>
      </c>
      <c r="B31" s="16" t="s">
        <v>165</v>
      </c>
      <c r="C31" s="4" t="s">
        <v>221</v>
      </c>
      <c r="D31" s="34">
        <v>5.64E-3</v>
      </c>
      <c r="E31" s="41">
        <v>497</v>
      </c>
      <c r="F31" s="41">
        <v>233</v>
      </c>
      <c r="G31" s="41">
        <v>47</v>
      </c>
      <c r="H31" s="41">
        <v>0</v>
      </c>
      <c r="I31" s="41">
        <v>0</v>
      </c>
      <c r="J31" s="31">
        <f>'03_FBA_Nivel1_Transfer'!H31</f>
        <v>25.24</v>
      </c>
      <c r="K31" s="32">
        <f>'03_FBA_Nivel1_Transfer'!I31</f>
        <v>0.32</v>
      </c>
      <c r="L31" s="32">
        <f t="shared" si="0"/>
        <v>0.26507999999999998</v>
      </c>
      <c r="M31" s="32">
        <f t="shared" si="1"/>
        <v>0</v>
      </c>
      <c r="N31" s="32">
        <f t="shared" si="2"/>
        <v>0</v>
      </c>
      <c r="O31" s="47">
        <f t="shared" si="3"/>
        <v>0.26507999999999998</v>
      </c>
      <c r="P31" s="41">
        <f t="shared" si="4"/>
        <v>47</v>
      </c>
      <c r="Q31" s="32">
        <f t="shared" si="5"/>
        <v>39.479999999999997</v>
      </c>
      <c r="R31" s="31">
        <f t="shared" si="6"/>
        <v>148.93617021276594</v>
      </c>
      <c r="S31" s="6" t="str">
        <f t="shared" si="7"/>
        <v>DISCOUNT 25% NOW</v>
      </c>
      <c r="T31" s="32">
        <f t="shared" si="8"/>
        <v>3.1809599999999998</v>
      </c>
      <c r="U31" s="32">
        <f t="shared" si="9"/>
        <v>0</v>
      </c>
      <c r="V31" s="4" t="str">
        <f t="shared" si="10"/>
        <v>Before 14th 23:59 PT</v>
      </c>
      <c r="W31" s="41">
        <f t="shared" si="11"/>
        <v>47</v>
      </c>
      <c r="X31" s="5" t="str">
        <f t="shared" si="12"/>
        <v>Discount to accelerate FIFO</v>
      </c>
    </row>
    <row r="32" spans="1:24" x14ac:dyDescent="0.3">
      <c r="A32" s="36" t="s">
        <v>265</v>
      </c>
      <c r="B32" s="16" t="s">
        <v>165</v>
      </c>
      <c r="C32" s="4" t="s">
        <v>172</v>
      </c>
      <c r="D32" s="34">
        <v>5.64E-3</v>
      </c>
      <c r="E32" s="41">
        <v>239</v>
      </c>
      <c r="F32" s="41">
        <v>112</v>
      </c>
      <c r="G32" s="41">
        <v>23</v>
      </c>
      <c r="H32" s="41">
        <v>0</v>
      </c>
      <c r="I32" s="41">
        <v>0</v>
      </c>
      <c r="J32" s="31">
        <f>'03_FBA_Nivel1_Transfer'!H32</f>
        <v>33.96</v>
      </c>
      <c r="K32" s="32">
        <f>'03_FBA_Nivel1_Transfer'!I32</f>
        <v>0</v>
      </c>
      <c r="L32" s="32">
        <f t="shared" si="0"/>
        <v>0.12972</v>
      </c>
      <c r="M32" s="32">
        <f t="shared" si="1"/>
        <v>0</v>
      </c>
      <c r="N32" s="32">
        <f t="shared" si="2"/>
        <v>0</v>
      </c>
      <c r="O32" s="47">
        <f t="shared" si="3"/>
        <v>0.12972</v>
      </c>
      <c r="P32" s="41">
        <f t="shared" si="4"/>
        <v>23</v>
      </c>
      <c r="Q32" s="32">
        <f t="shared" si="5"/>
        <v>19.32</v>
      </c>
      <c r="R32" s="31">
        <f t="shared" si="6"/>
        <v>148.93617021276594</v>
      </c>
      <c r="S32" s="6" t="str">
        <f t="shared" si="7"/>
        <v>DISCOUNT 25% NOW</v>
      </c>
      <c r="T32" s="32">
        <f t="shared" si="8"/>
        <v>1.55664</v>
      </c>
      <c r="U32" s="32">
        <f t="shared" si="9"/>
        <v>0</v>
      </c>
      <c r="V32" s="4" t="str">
        <f t="shared" si="10"/>
        <v>Before 14th 23:59 PT</v>
      </c>
      <c r="W32" s="41">
        <f t="shared" si="11"/>
        <v>23</v>
      </c>
      <c r="X32" s="5" t="str">
        <f t="shared" si="12"/>
        <v>Discount to accelerate FIFO</v>
      </c>
    </row>
    <row r="33" spans="1:24" x14ac:dyDescent="0.3">
      <c r="A33" s="36" t="s">
        <v>268</v>
      </c>
      <c r="B33" s="16" t="s">
        <v>165</v>
      </c>
      <c r="C33" s="4" t="s">
        <v>172</v>
      </c>
      <c r="D33" s="34">
        <v>5.64E-3</v>
      </c>
      <c r="E33" s="41">
        <v>245</v>
      </c>
      <c r="F33" s="41">
        <v>115</v>
      </c>
      <c r="G33" s="41">
        <v>23</v>
      </c>
      <c r="H33" s="41">
        <v>0</v>
      </c>
      <c r="I33" s="41">
        <v>0</v>
      </c>
      <c r="J33" s="31">
        <f>'03_FBA_Nivel1_Transfer'!H33</f>
        <v>42.18</v>
      </c>
      <c r="K33" s="32">
        <f>'03_FBA_Nivel1_Transfer'!I33</f>
        <v>0</v>
      </c>
      <c r="L33" s="32">
        <f t="shared" si="0"/>
        <v>0.12972</v>
      </c>
      <c r="M33" s="32">
        <f t="shared" si="1"/>
        <v>0</v>
      </c>
      <c r="N33" s="32">
        <f t="shared" si="2"/>
        <v>0</v>
      </c>
      <c r="O33" s="47">
        <f t="shared" si="3"/>
        <v>0.12972</v>
      </c>
      <c r="P33" s="41">
        <f t="shared" si="4"/>
        <v>23</v>
      </c>
      <c r="Q33" s="32">
        <f t="shared" si="5"/>
        <v>19.32</v>
      </c>
      <c r="R33" s="31">
        <f t="shared" si="6"/>
        <v>148.93617021276594</v>
      </c>
      <c r="S33" s="6" t="str">
        <f t="shared" si="7"/>
        <v>DISCOUNT 25% NOW</v>
      </c>
      <c r="T33" s="32">
        <f t="shared" si="8"/>
        <v>1.55664</v>
      </c>
      <c r="U33" s="32">
        <f t="shared" si="9"/>
        <v>0</v>
      </c>
      <c r="V33" s="4" t="str">
        <f t="shared" si="10"/>
        <v>Before 14th 23:59 PT</v>
      </c>
      <c r="W33" s="41">
        <f t="shared" si="11"/>
        <v>23</v>
      </c>
      <c r="X33" s="5" t="str">
        <f t="shared" si="12"/>
        <v>Discount to accelerate FIFO</v>
      </c>
    </row>
    <row r="34" spans="1:24" x14ac:dyDescent="0.3">
      <c r="A34" s="36" t="s">
        <v>271</v>
      </c>
      <c r="B34" s="16" t="s">
        <v>165</v>
      </c>
      <c r="C34" s="4" t="s">
        <v>179</v>
      </c>
      <c r="D34" s="34">
        <v>5.64E-3</v>
      </c>
      <c r="E34" s="41">
        <v>65</v>
      </c>
      <c r="F34" s="41">
        <v>34</v>
      </c>
      <c r="G34" s="41">
        <v>13</v>
      </c>
      <c r="H34" s="41">
        <v>0</v>
      </c>
      <c r="I34" s="41">
        <v>0</v>
      </c>
      <c r="J34" s="31">
        <f>'03_FBA_Nivel1_Transfer'!H34</f>
        <v>76.09</v>
      </c>
      <c r="K34" s="32">
        <f>'03_FBA_Nivel1_Transfer'!I34</f>
        <v>0</v>
      </c>
      <c r="L34" s="32">
        <f t="shared" si="0"/>
        <v>7.3319999999999996E-2</v>
      </c>
      <c r="M34" s="32">
        <f t="shared" si="1"/>
        <v>0</v>
      </c>
      <c r="N34" s="32">
        <f t="shared" si="2"/>
        <v>0</v>
      </c>
      <c r="O34" s="47">
        <f t="shared" si="3"/>
        <v>7.3319999999999996E-2</v>
      </c>
      <c r="P34" s="41">
        <f t="shared" si="4"/>
        <v>13</v>
      </c>
      <c r="Q34" s="32">
        <f t="shared" si="5"/>
        <v>10.92</v>
      </c>
      <c r="R34" s="31">
        <f t="shared" si="6"/>
        <v>148.93617021276597</v>
      </c>
      <c r="S34" s="6" t="str">
        <f t="shared" si="7"/>
        <v>DISCOUNT 25% NOW</v>
      </c>
      <c r="T34" s="32">
        <f t="shared" si="8"/>
        <v>0.87983999999999996</v>
      </c>
      <c r="U34" s="32">
        <f t="shared" si="9"/>
        <v>0</v>
      </c>
      <c r="V34" s="4" t="str">
        <f t="shared" si="10"/>
        <v>Before 14th 23:59 PT</v>
      </c>
      <c r="W34" s="41">
        <f t="shared" si="11"/>
        <v>13</v>
      </c>
      <c r="X34" s="5" t="str">
        <f t="shared" si="12"/>
        <v>Discount to accelerate FIFO</v>
      </c>
    </row>
    <row r="35" spans="1:24" x14ac:dyDescent="0.3">
      <c r="A35" s="36" t="s">
        <v>274</v>
      </c>
      <c r="B35" s="16" t="s">
        <v>165</v>
      </c>
      <c r="C35" s="4" t="s">
        <v>172</v>
      </c>
      <c r="D35" s="34">
        <v>5.64E-3</v>
      </c>
      <c r="E35" s="41">
        <v>228</v>
      </c>
      <c r="F35" s="41">
        <v>107</v>
      </c>
      <c r="G35" s="41">
        <v>21</v>
      </c>
      <c r="H35" s="41">
        <v>0</v>
      </c>
      <c r="I35" s="41">
        <v>0</v>
      </c>
      <c r="J35" s="31">
        <f>'03_FBA_Nivel1_Transfer'!H35</f>
        <v>37.75</v>
      </c>
      <c r="K35" s="32">
        <f>'03_FBA_Nivel1_Transfer'!I35</f>
        <v>0</v>
      </c>
      <c r="L35" s="32">
        <f t="shared" si="0"/>
        <v>0.11844</v>
      </c>
      <c r="M35" s="32">
        <f t="shared" si="1"/>
        <v>0</v>
      </c>
      <c r="N35" s="32">
        <f t="shared" si="2"/>
        <v>0</v>
      </c>
      <c r="O35" s="47">
        <f t="shared" si="3"/>
        <v>0.11844</v>
      </c>
      <c r="P35" s="41">
        <f t="shared" si="4"/>
        <v>21</v>
      </c>
      <c r="Q35" s="32">
        <f t="shared" si="5"/>
        <v>17.64</v>
      </c>
      <c r="R35" s="31">
        <f t="shared" si="6"/>
        <v>148.93617021276594</v>
      </c>
      <c r="S35" s="6" t="str">
        <f t="shared" si="7"/>
        <v>DISCOUNT 25% NOW</v>
      </c>
      <c r="T35" s="32">
        <f t="shared" si="8"/>
        <v>1.4212800000000001</v>
      </c>
      <c r="U35" s="32">
        <f t="shared" si="9"/>
        <v>0</v>
      </c>
      <c r="V35" s="4" t="str">
        <f t="shared" si="10"/>
        <v>Before 14th 23:59 PT</v>
      </c>
      <c r="W35" s="41">
        <f t="shared" si="11"/>
        <v>21</v>
      </c>
      <c r="X35" s="5" t="str">
        <f t="shared" si="12"/>
        <v>Discount to accelerate FIFO</v>
      </c>
    </row>
    <row r="36" spans="1:24" x14ac:dyDescent="0.3">
      <c r="A36" s="36" t="s">
        <v>277</v>
      </c>
      <c r="B36" s="16" t="s">
        <v>165</v>
      </c>
      <c r="C36" s="4" t="s">
        <v>188</v>
      </c>
      <c r="D36" s="34">
        <v>5.64E-3</v>
      </c>
      <c r="E36" s="41">
        <v>0</v>
      </c>
      <c r="F36" s="41">
        <v>0</v>
      </c>
      <c r="G36" s="41">
        <v>0</v>
      </c>
      <c r="H36" s="41">
        <v>0</v>
      </c>
      <c r="I36" s="41">
        <v>0</v>
      </c>
      <c r="J36" s="31">
        <f>'03_FBA_Nivel1_Transfer'!H36</f>
        <v>0</v>
      </c>
      <c r="K36" s="32">
        <f>'03_FBA_Nivel1_Transfer'!I36</f>
        <v>0</v>
      </c>
      <c r="L36" s="32">
        <f t="shared" si="0"/>
        <v>0</v>
      </c>
      <c r="M36" s="32">
        <f t="shared" si="1"/>
        <v>0</v>
      </c>
      <c r="N36" s="32">
        <f t="shared" si="2"/>
        <v>0</v>
      </c>
      <c r="O36" s="47">
        <f t="shared" si="3"/>
        <v>0</v>
      </c>
      <c r="P36" s="41">
        <f t="shared" si="4"/>
        <v>0</v>
      </c>
      <c r="Q36" s="32">
        <f t="shared" si="5"/>
        <v>0</v>
      </c>
      <c r="R36" s="31" t="str">
        <f t="shared" si="6"/>
        <v/>
      </c>
      <c r="S36" s="6" t="str">
        <f t="shared" si="7"/>
        <v>HEALTHY</v>
      </c>
      <c r="T36" s="32">
        <f t="shared" si="8"/>
        <v>0</v>
      </c>
      <c r="U36" s="32">
        <f t="shared" si="9"/>
        <v>0</v>
      </c>
      <c r="V36" s="4" t="str">
        <f t="shared" si="10"/>
        <v>-</v>
      </c>
      <c r="W36" s="41">
        <f t="shared" si="11"/>
        <v>0</v>
      </c>
      <c r="X36" s="5" t="str">
        <f t="shared" si="12"/>
        <v>Clear</v>
      </c>
    </row>
    <row r="37" spans="1:24" x14ac:dyDescent="0.3">
      <c r="A37" s="36" t="s">
        <v>280</v>
      </c>
      <c r="B37" s="16" t="s">
        <v>165</v>
      </c>
      <c r="C37" s="4" t="s">
        <v>184</v>
      </c>
      <c r="D37" s="34">
        <v>5.64E-3</v>
      </c>
      <c r="E37" s="41">
        <v>42</v>
      </c>
      <c r="F37" s="41">
        <v>22</v>
      </c>
      <c r="G37" s="41">
        <v>9</v>
      </c>
      <c r="H37" s="41">
        <v>0</v>
      </c>
      <c r="I37" s="41">
        <v>0</v>
      </c>
      <c r="J37" s="31">
        <f>'03_FBA_Nivel1_Transfer'!H37</f>
        <v>33.369999999999997</v>
      </c>
      <c r="K37" s="32">
        <f>'03_FBA_Nivel1_Transfer'!I37</f>
        <v>0</v>
      </c>
      <c r="L37" s="32">
        <f t="shared" ref="L37:L68" si="13">G37*D37*1</f>
        <v>5.076E-2</v>
      </c>
      <c r="M37" s="32">
        <f t="shared" ref="M37:M68" si="14">H37*D37*5.45</f>
        <v>0</v>
      </c>
      <c r="N37" s="32">
        <f t="shared" ref="N37:N68" si="15">I37*MAX(D37*6.9,0.3)</f>
        <v>0</v>
      </c>
      <c r="O37" s="47">
        <f t="shared" ref="O37:O68" si="16">SUM(L37:N37)</f>
        <v>5.076E-2</v>
      </c>
      <c r="P37" s="41">
        <f t="shared" ref="P37:P68" si="17">SUM(G37:I37)</f>
        <v>9</v>
      </c>
      <c r="Q37" s="32">
        <f t="shared" ref="Q37:Q68" si="18">P37*Removal_Fee</f>
        <v>7.56</v>
      </c>
      <c r="R37" s="31">
        <f t="shared" ref="R37:R68" si="19">IF(O37&gt;0,Q37/O37,"")</f>
        <v>148.93617021276594</v>
      </c>
      <c r="S37" s="6" t="str">
        <f t="shared" ref="S37:S68" si="20">IF(AND(P37&gt;0,ISNUMBER(R37),R37&lt;=AIS_Payback),"EXECUTE REMOVAL",IF(O37&gt;0,"DISCOUNT 25% NOW","HEALTHY"))</f>
        <v>DISCOUNT 25% NOW</v>
      </c>
      <c r="T37" s="32">
        <f t="shared" ref="T37:T68" si="21">O37*12</f>
        <v>0.60911999999999999</v>
      </c>
      <c r="U37" s="32">
        <f t="shared" ref="U37:U68" si="22">IF(S37="EXECUTE REMOVAL",T37-Q37,0)</f>
        <v>0</v>
      </c>
      <c r="V37" s="4" t="str">
        <f t="shared" ref="V37:V68" si="23">IF(AND(P37&gt;0,O37&gt;0),"Before 14th 23:59 PT","-")</f>
        <v>Before 14th 23:59 PT</v>
      </c>
      <c r="W37" s="41">
        <f t="shared" ref="W37:W68" si="24">SUM(G37:I37)</f>
        <v>9</v>
      </c>
      <c r="X37" s="5" t="str">
        <f t="shared" ref="X37:X68" si="25">IF(P37=0,"Clear",IF(R37&lt;=AIS_Payback,"Remove before cliff","Discount to accelerate FIFO"))</f>
        <v>Discount to accelerate FIFO</v>
      </c>
    </row>
    <row r="38" spans="1:24" x14ac:dyDescent="0.3">
      <c r="A38" s="36" t="s">
        <v>283</v>
      </c>
      <c r="B38" s="16" t="s">
        <v>165</v>
      </c>
      <c r="C38" s="4" t="s">
        <v>188</v>
      </c>
      <c r="D38" s="34">
        <v>5.64E-3</v>
      </c>
      <c r="E38" s="41">
        <v>0</v>
      </c>
      <c r="F38" s="41">
        <v>0</v>
      </c>
      <c r="G38" s="41">
        <v>0</v>
      </c>
      <c r="H38" s="41">
        <v>0</v>
      </c>
      <c r="I38" s="41">
        <v>0</v>
      </c>
      <c r="J38" s="31">
        <f>'03_FBA_Nivel1_Transfer'!H38</f>
        <v>0</v>
      </c>
      <c r="K38" s="32">
        <f>'03_FBA_Nivel1_Transfer'!I38</f>
        <v>0</v>
      </c>
      <c r="L38" s="32">
        <f t="shared" si="13"/>
        <v>0</v>
      </c>
      <c r="M38" s="32">
        <f t="shared" si="14"/>
        <v>0</v>
      </c>
      <c r="N38" s="32">
        <f t="shared" si="15"/>
        <v>0</v>
      </c>
      <c r="O38" s="47">
        <f t="shared" si="16"/>
        <v>0</v>
      </c>
      <c r="P38" s="41">
        <f t="shared" si="17"/>
        <v>0</v>
      </c>
      <c r="Q38" s="32">
        <f t="shared" si="18"/>
        <v>0</v>
      </c>
      <c r="R38" s="31" t="str">
        <f t="shared" si="19"/>
        <v/>
      </c>
      <c r="S38" s="6" t="str">
        <f t="shared" si="20"/>
        <v>HEALTHY</v>
      </c>
      <c r="T38" s="32">
        <f t="shared" si="21"/>
        <v>0</v>
      </c>
      <c r="U38" s="32">
        <f t="shared" si="22"/>
        <v>0</v>
      </c>
      <c r="V38" s="4" t="str">
        <f t="shared" si="23"/>
        <v>-</v>
      </c>
      <c r="W38" s="41">
        <f t="shared" si="24"/>
        <v>0</v>
      </c>
      <c r="X38" s="5" t="str">
        <f t="shared" si="25"/>
        <v>Clear</v>
      </c>
    </row>
    <row r="39" spans="1:24" x14ac:dyDescent="0.3">
      <c r="A39" s="36" t="s">
        <v>286</v>
      </c>
      <c r="B39" s="16" t="s">
        <v>165</v>
      </c>
      <c r="C39" s="4" t="s">
        <v>188</v>
      </c>
      <c r="D39" s="34">
        <v>5.64E-3</v>
      </c>
      <c r="E39" s="41">
        <v>0</v>
      </c>
      <c r="F39" s="41">
        <v>0</v>
      </c>
      <c r="G39" s="41">
        <v>0</v>
      </c>
      <c r="H39" s="41">
        <v>0</v>
      </c>
      <c r="I39" s="41">
        <v>0</v>
      </c>
      <c r="J39" s="31">
        <f>'03_FBA_Nivel1_Transfer'!H39</f>
        <v>35.9</v>
      </c>
      <c r="K39" s="32">
        <f>'03_FBA_Nivel1_Transfer'!I39</f>
        <v>0</v>
      </c>
      <c r="L39" s="32">
        <f t="shared" si="13"/>
        <v>0</v>
      </c>
      <c r="M39" s="32">
        <f t="shared" si="14"/>
        <v>0</v>
      </c>
      <c r="N39" s="32">
        <f t="shared" si="15"/>
        <v>0</v>
      </c>
      <c r="O39" s="47">
        <f t="shared" si="16"/>
        <v>0</v>
      </c>
      <c r="P39" s="41">
        <f t="shared" si="17"/>
        <v>0</v>
      </c>
      <c r="Q39" s="32">
        <f t="shared" si="18"/>
        <v>0</v>
      </c>
      <c r="R39" s="31" t="str">
        <f t="shared" si="19"/>
        <v/>
      </c>
      <c r="S39" s="6" t="str">
        <f t="shared" si="20"/>
        <v>HEALTHY</v>
      </c>
      <c r="T39" s="32">
        <f t="shared" si="21"/>
        <v>0</v>
      </c>
      <c r="U39" s="32">
        <f t="shared" si="22"/>
        <v>0</v>
      </c>
      <c r="V39" s="4" t="str">
        <f t="shared" si="23"/>
        <v>-</v>
      </c>
      <c r="W39" s="41">
        <f t="shared" si="24"/>
        <v>0</v>
      </c>
      <c r="X39" s="5" t="str">
        <f t="shared" si="25"/>
        <v>Clear</v>
      </c>
    </row>
    <row r="40" spans="1:24" x14ac:dyDescent="0.3">
      <c r="A40" s="36" t="s">
        <v>289</v>
      </c>
      <c r="B40" s="16" t="s">
        <v>165</v>
      </c>
      <c r="C40" s="4" t="s">
        <v>188</v>
      </c>
      <c r="D40" s="34">
        <v>5.64E-3</v>
      </c>
      <c r="E40" s="41">
        <v>0</v>
      </c>
      <c r="F40" s="41">
        <v>0</v>
      </c>
      <c r="G40" s="41">
        <v>0</v>
      </c>
      <c r="H40" s="41">
        <v>0</v>
      </c>
      <c r="I40" s="41">
        <v>0</v>
      </c>
      <c r="J40" s="31">
        <f>'03_FBA_Nivel1_Transfer'!H40</f>
        <v>0</v>
      </c>
      <c r="K40" s="32">
        <f>'03_FBA_Nivel1_Transfer'!I40</f>
        <v>0</v>
      </c>
      <c r="L40" s="32">
        <f t="shared" si="13"/>
        <v>0</v>
      </c>
      <c r="M40" s="32">
        <f t="shared" si="14"/>
        <v>0</v>
      </c>
      <c r="N40" s="32">
        <f t="shared" si="15"/>
        <v>0</v>
      </c>
      <c r="O40" s="47">
        <f t="shared" si="16"/>
        <v>0</v>
      </c>
      <c r="P40" s="41">
        <f t="shared" si="17"/>
        <v>0</v>
      </c>
      <c r="Q40" s="32">
        <f t="shared" si="18"/>
        <v>0</v>
      </c>
      <c r="R40" s="31" t="str">
        <f t="shared" si="19"/>
        <v/>
      </c>
      <c r="S40" s="6" t="str">
        <f t="shared" si="20"/>
        <v>HEALTHY</v>
      </c>
      <c r="T40" s="32">
        <f t="shared" si="21"/>
        <v>0</v>
      </c>
      <c r="U40" s="32">
        <f t="shared" si="22"/>
        <v>0</v>
      </c>
      <c r="V40" s="4" t="str">
        <f t="shared" si="23"/>
        <v>-</v>
      </c>
      <c r="W40" s="41">
        <f t="shared" si="24"/>
        <v>0</v>
      </c>
      <c r="X40" s="5" t="str">
        <f t="shared" si="25"/>
        <v>Clear</v>
      </c>
    </row>
    <row r="41" spans="1:24" x14ac:dyDescent="0.3">
      <c r="A41" s="36" t="s">
        <v>292</v>
      </c>
      <c r="B41" s="16" t="s">
        <v>293</v>
      </c>
      <c r="C41" s="4" t="s">
        <v>172</v>
      </c>
      <c r="D41" s="34">
        <v>5.64E-3</v>
      </c>
      <c r="E41" s="41">
        <v>179</v>
      </c>
      <c r="F41" s="41">
        <v>84</v>
      </c>
      <c r="G41" s="41">
        <v>17</v>
      </c>
      <c r="H41" s="41">
        <v>0</v>
      </c>
      <c r="I41" s="41">
        <v>0</v>
      </c>
      <c r="J41" s="31">
        <f>'03_FBA_Nivel1_Transfer'!H41</f>
        <v>39.950000000000003</v>
      </c>
      <c r="K41" s="32">
        <f>'03_FBA_Nivel1_Transfer'!I41</f>
        <v>0</v>
      </c>
      <c r="L41" s="32">
        <f t="shared" si="13"/>
        <v>9.5880000000000007E-2</v>
      </c>
      <c r="M41" s="32">
        <f t="shared" si="14"/>
        <v>0</v>
      </c>
      <c r="N41" s="32">
        <f t="shared" si="15"/>
        <v>0</v>
      </c>
      <c r="O41" s="47">
        <f t="shared" si="16"/>
        <v>9.5880000000000007E-2</v>
      </c>
      <c r="P41" s="41">
        <f t="shared" si="17"/>
        <v>17</v>
      </c>
      <c r="Q41" s="32">
        <f t="shared" si="18"/>
        <v>14.28</v>
      </c>
      <c r="R41" s="31">
        <f t="shared" si="19"/>
        <v>148.93617021276594</v>
      </c>
      <c r="S41" s="6" t="str">
        <f t="shared" si="20"/>
        <v>DISCOUNT 25% NOW</v>
      </c>
      <c r="T41" s="32">
        <f t="shared" si="21"/>
        <v>1.15056</v>
      </c>
      <c r="U41" s="32">
        <f t="shared" si="22"/>
        <v>0</v>
      </c>
      <c r="V41" s="4" t="str">
        <f t="shared" si="23"/>
        <v>Before 14th 23:59 PT</v>
      </c>
      <c r="W41" s="41">
        <f t="shared" si="24"/>
        <v>17</v>
      </c>
      <c r="X41" s="5" t="str">
        <f t="shared" si="25"/>
        <v>Discount to accelerate FIFO</v>
      </c>
    </row>
    <row r="42" spans="1:24" x14ac:dyDescent="0.3">
      <c r="A42" s="36" t="s">
        <v>298</v>
      </c>
      <c r="B42" s="16" t="s">
        <v>293</v>
      </c>
      <c r="C42" s="4" t="s">
        <v>188</v>
      </c>
      <c r="D42" s="34">
        <v>5.64E-3</v>
      </c>
      <c r="E42" s="41">
        <v>0</v>
      </c>
      <c r="F42" s="41">
        <v>0</v>
      </c>
      <c r="G42" s="41">
        <v>0</v>
      </c>
      <c r="H42" s="41">
        <v>0</v>
      </c>
      <c r="I42" s="41">
        <v>0</v>
      </c>
      <c r="J42" s="31">
        <f>'03_FBA_Nivel1_Transfer'!H42</f>
        <v>0</v>
      </c>
      <c r="K42" s="32">
        <f>'03_FBA_Nivel1_Transfer'!I42</f>
        <v>0</v>
      </c>
      <c r="L42" s="32">
        <f t="shared" si="13"/>
        <v>0</v>
      </c>
      <c r="M42" s="32">
        <f t="shared" si="14"/>
        <v>0</v>
      </c>
      <c r="N42" s="32">
        <f t="shared" si="15"/>
        <v>0</v>
      </c>
      <c r="O42" s="47">
        <f t="shared" si="16"/>
        <v>0</v>
      </c>
      <c r="P42" s="41">
        <f t="shared" si="17"/>
        <v>0</v>
      </c>
      <c r="Q42" s="32">
        <f t="shared" si="18"/>
        <v>0</v>
      </c>
      <c r="R42" s="31" t="str">
        <f t="shared" si="19"/>
        <v/>
      </c>
      <c r="S42" s="6" t="str">
        <f t="shared" si="20"/>
        <v>HEALTHY</v>
      </c>
      <c r="T42" s="32">
        <f t="shared" si="21"/>
        <v>0</v>
      </c>
      <c r="U42" s="32">
        <f t="shared" si="22"/>
        <v>0</v>
      </c>
      <c r="V42" s="4" t="str">
        <f t="shared" si="23"/>
        <v>-</v>
      </c>
      <c r="W42" s="41">
        <f t="shared" si="24"/>
        <v>0</v>
      </c>
      <c r="X42" s="5" t="str">
        <f t="shared" si="25"/>
        <v>Clear</v>
      </c>
    </row>
    <row r="43" spans="1:24" x14ac:dyDescent="0.3">
      <c r="A43" s="36" t="s">
        <v>301</v>
      </c>
      <c r="B43" s="16" t="s">
        <v>293</v>
      </c>
      <c r="C43" s="4" t="s">
        <v>179</v>
      </c>
      <c r="D43" s="34">
        <v>5.64E-3</v>
      </c>
      <c r="E43" s="41">
        <v>0</v>
      </c>
      <c r="F43" s="41">
        <v>0</v>
      </c>
      <c r="G43" s="41">
        <v>0</v>
      </c>
      <c r="H43" s="41">
        <v>0</v>
      </c>
      <c r="I43" s="41">
        <v>0</v>
      </c>
      <c r="J43" s="31">
        <f>'03_FBA_Nivel1_Transfer'!H43</f>
        <v>34.49</v>
      </c>
      <c r="K43" s="32">
        <f>'03_FBA_Nivel1_Transfer'!I43</f>
        <v>0</v>
      </c>
      <c r="L43" s="32">
        <f t="shared" si="13"/>
        <v>0</v>
      </c>
      <c r="M43" s="32">
        <f t="shared" si="14"/>
        <v>0</v>
      </c>
      <c r="N43" s="32">
        <f t="shared" si="15"/>
        <v>0</v>
      </c>
      <c r="O43" s="47">
        <f t="shared" si="16"/>
        <v>0</v>
      </c>
      <c r="P43" s="41">
        <f t="shared" si="17"/>
        <v>0</v>
      </c>
      <c r="Q43" s="32">
        <f t="shared" si="18"/>
        <v>0</v>
      </c>
      <c r="R43" s="31" t="str">
        <f t="shared" si="19"/>
        <v/>
      </c>
      <c r="S43" s="6" t="str">
        <f t="shared" si="20"/>
        <v>HEALTHY</v>
      </c>
      <c r="T43" s="32">
        <f t="shared" si="21"/>
        <v>0</v>
      </c>
      <c r="U43" s="32">
        <f t="shared" si="22"/>
        <v>0</v>
      </c>
      <c r="V43" s="4" t="str">
        <f t="shared" si="23"/>
        <v>-</v>
      </c>
      <c r="W43" s="41">
        <f t="shared" si="24"/>
        <v>0</v>
      </c>
      <c r="X43" s="5" t="str">
        <f t="shared" si="25"/>
        <v>Clear</v>
      </c>
    </row>
    <row r="44" spans="1:24" x14ac:dyDescent="0.3">
      <c r="A44" s="36" t="s">
        <v>304</v>
      </c>
      <c r="B44" s="16" t="s">
        <v>293</v>
      </c>
      <c r="C44" s="4" t="s">
        <v>188</v>
      </c>
      <c r="D44" s="34">
        <v>5.64E-3</v>
      </c>
      <c r="E44" s="41">
        <v>0</v>
      </c>
      <c r="F44" s="41">
        <v>0</v>
      </c>
      <c r="G44" s="41">
        <v>0</v>
      </c>
      <c r="H44" s="41">
        <v>0</v>
      </c>
      <c r="I44" s="41">
        <v>0</v>
      </c>
      <c r="J44" s="31">
        <f>'03_FBA_Nivel1_Transfer'!H44</f>
        <v>0</v>
      </c>
      <c r="K44" s="32">
        <f>'03_FBA_Nivel1_Transfer'!I44</f>
        <v>0</v>
      </c>
      <c r="L44" s="32">
        <f t="shared" si="13"/>
        <v>0</v>
      </c>
      <c r="M44" s="32">
        <f t="shared" si="14"/>
        <v>0</v>
      </c>
      <c r="N44" s="32">
        <f t="shared" si="15"/>
        <v>0</v>
      </c>
      <c r="O44" s="47">
        <f t="shared" si="16"/>
        <v>0</v>
      </c>
      <c r="P44" s="41">
        <f t="shared" si="17"/>
        <v>0</v>
      </c>
      <c r="Q44" s="32">
        <f t="shared" si="18"/>
        <v>0</v>
      </c>
      <c r="R44" s="31" t="str">
        <f t="shared" si="19"/>
        <v/>
      </c>
      <c r="S44" s="6" t="str">
        <f t="shared" si="20"/>
        <v>HEALTHY</v>
      </c>
      <c r="T44" s="32">
        <f t="shared" si="21"/>
        <v>0</v>
      </c>
      <c r="U44" s="32">
        <f t="shared" si="22"/>
        <v>0</v>
      </c>
      <c r="V44" s="4" t="str">
        <f t="shared" si="23"/>
        <v>-</v>
      </c>
      <c r="W44" s="41">
        <f t="shared" si="24"/>
        <v>0</v>
      </c>
      <c r="X44" s="5" t="str">
        <f t="shared" si="25"/>
        <v>Clear</v>
      </c>
    </row>
    <row r="45" spans="1:24" x14ac:dyDescent="0.3">
      <c r="A45" s="36" t="s">
        <v>307</v>
      </c>
      <c r="B45" s="16" t="s">
        <v>293</v>
      </c>
      <c r="C45" s="4" t="s">
        <v>188</v>
      </c>
      <c r="D45" s="34">
        <v>5.64E-3</v>
      </c>
      <c r="E45" s="41">
        <v>0</v>
      </c>
      <c r="F45" s="41">
        <v>0</v>
      </c>
      <c r="G45" s="41">
        <v>0</v>
      </c>
      <c r="H45" s="41">
        <v>0</v>
      </c>
      <c r="I45" s="41">
        <v>0</v>
      </c>
      <c r="J45" s="31">
        <f>'03_FBA_Nivel1_Transfer'!H45</f>
        <v>0</v>
      </c>
      <c r="K45" s="32">
        <f>'03_FBA_Nivel1_Transfer'!I45</f>
        <v>0</v>
      </c>
      <c r="L45" s="32">
        <f t="shared" si="13"/>
        <v>0</v>
      </c>
      <c r="M45" s="32">
        <f t="shared" si="14"/>
        <v>0</v>
      </c>
      <c r="N45" s="32">
        <f t="shared" si="15"/>
        <v>0</v>
      </c>
      <c r="O45" s="47">
        <f t="shared" si="16"/>
        <v>0</v>
      </c>
      <c r="P45" s="41">
        <f t="shared" si="17"/>
        <v>0</v>
      </c>
      <c r="Q45" s="32">
        <f t="shared" si="18"/>
        <v>0</v>
      </c>
      <c r="R45" s="31" t="str">
        <f t="shared" si="19"/>
        <v/>
      </c>
      <c r="S45" s="6" t="str">
        <f t="shared" si="20"/>
        <v>HEALTHY</v>
      </c>
      <c r="T45" s="32">
        <f t="shared" si="21"/>
        <v>0</v>
      </c>
      <c r="U45" s="32">
        <f t="shared" si="22"/>
        <v>0</v>
      </c>
      <c r="V45" s="4" t="str">
        <f t="shared" si="23"/>
        <v>-</v>
      </c>
      <c r="W45" s="41">
        <f t="shared" si="24"/>
        <v>0</v>
      </c>
      <c r="X45" s="5" t="str">
        <f t="shared" si="25"/>
        <v>Clear</v>
      </c>
    </row>
    <row r="46" spans="1:24" x14ac:dyDescent="0.3">
      <c r="A46" s="36" t="s">
        <v>310</v>
      </c>
      <c r="B46" s="16" t="s">
        <v>293</v>
      </c>
      <c r="C46" s="4" t="s">
        <v>188</v>
      </c>
      <c r="D46" s="34">
        <v>5.64E-3</v>
      </c>
      <c r="E46" s="41">
        <v>0</v>
      </c>
      <c r="F46" s="41">
        <v>0</v>
      </c>
      <c r="G46" s="41">
        <v>0</v>
      </c>
      <c r="H46" s="41">
        <v>0</v>
      </c>
      <c r="I46" s="41">
        <v>0</v>
      </c>
      <c r="J46" s="31">
        <f>'03_FBA_Nivel1_Transfer'!H46</f>
        <v>0</v>
      </c>
      <c r="K46" s="32">
        <f>'03_FBA_Nivel1_Transfer'!I46</f>
        <v>0</v>
      </c>
      <c r="L46" s="32">
        <f t="shared" si="13"/>
        <v>0</v>
      </c>
      <c r="M46" s="32">
        <f t="shared" si="14"/>
        <v>0</v>
      </c>
      <c r="N46" s="32">
        <f t="shared" si="15"/>
        <v>0</v>
      </c>
      <c r="O46" s="47">
        <f t="shared" si="16"/>
        <v>0</v>
      </c>
      <c r="P46" s="41">
        <f t="shared" si="17"/>
        <v>0</v>
      </c>
      <c r="Q46" s="32">
        <f t="shared" si="18"/>
        <v>0</v>
      </c>
      <c r="R46" s="31" t="str">
        <f t="shared" si="19"/>
        <v/>
      </c>
      <c r="S46" s="6" t="str">
        <f t="shared" si="20"/>
        <v>HEALTHY</v>
      </c>
      <c r="T46" s="32">
        <f t="shared" si="21"/>
        <v>0</v>
      </c>
      <c r="U46" s="32">
        <f t="shared" si="22"/>
        <v>0</v>
      </c>
      <c r="V46" s="4" t="str">
        <f t="shared" si="23"/>
        <v>-</v>
      </c>
      <c r="W46" s="41">
        <f t="shared" si="24"/>
        <v>0</v>
      </c>
      <c r="X46" s="5" t="str">
        <f t="shared" si="25"/>
        <v>Clear</v>
      </c>
    </row>
    <row r="47" spans="1:24" x14ac:dyDescent="0.3">
      <c r="A47" s="36" t="s">
        <v>313</v>
      </c>
      <c r="B47" s="16" t="s">
        <v>293</v>
      </c>
      <c r="C47" s="4" t="s">
        <v>188</v>
      </c>
      <c r="D47" s="34">
        <v>5.64E-3</v>
      </c>
      <c r="E47" s="41">
        <v>0</v>
      </c>
      <c r="F47" s="41">
        <v>0</v>
      </c>
      <c r="G47" s="41">
        <v>0</v>
      </c>
      <c r="H47" s="41">
        <v>0</v>
      </c>
      <c r="I47" s="41">
        <v>0</v>
      </c>
      <c r="J47" s="31">
        <f>'03_FBA_Nivel1_Transfer'!H47</f>
        <v>0</v>
      </c>
      <c r="K47" s="32">
        <f>'03_FBA_Nivel1_Transfer'!I47</f>
        <v>0</v>
      </c>
      <c r="L47" s="32">
        <f t="shared" si="13"/>
        <v>0</v>
      </c>
      <c r="M47" s="32">
        <f t="shared" si="14"/>
        <v>0</v>
      </c>
      <c r="N47" s="32">
        <f t="shared" si="15"/>
        <v>0</v>
      </c>
      <c r="O47" s="47">
        <f t="shared" si="16"/>
        <v>0</v>
      </c>
      <c r="P47" s="41">
        <f t="shared" si="17"/>
        <v>0</v>
      </c>
      <c r="Q47" s="32">
        <f t="shared" si="18"/>
        <v>0</v>
      </c>
      <c r="R47" s="31" t="str">
        <f t="shared" si="19"/>
        <v/>
      </c>
      <c r="S47" s="6" t="str">
        <f t="shared" si="20"/>
        <v>HEALTHY</v>
      </c>
      <c r="T47" s="32">
        <f t="shared" si="21"/>
        <v>0</v>
      </c>
      <c r="U47" s="32">
        <f t="shared" si="22"/>
        <v>0</v>
      </c>
      <c r="V47" s="4" t="str">
        <f t="shared" si="23"/>
        <v>-</v>
      </c>
      <c r="W47" s="41">
        <f t="shared" si="24"/>
        <v>0</v>
      </c>
      <c r="X47" s="5" t="str">
        <f t="shared" si="25"/>
        <v>Clear</v>
      </c>
    </row>
    <row r="48" spans="1:24" x14ac:dyDescent="0.3">
      <c r="A48" s="36" t="s">
        <v>316</v>
      </c>
      <c r="B48" s="16" t="s">
        <v>293</v>
      </c>
      <c r="C48" s="4" t="s">
        <v>188</v>
      </c>
      <c r="D48" s="34">
        <v>5.64E-3</v>
      </c>
      <c r="E48" s="41">
        <v>0</v>
      </c>
      <c r="F48" s="41">
        <v>0</v>
      </c>
      <c r="G48" s="41">
        <v>0</v>
      </c>
      <c r="H48" s="41">
        <v>0</v>
      </c>
      <c r="I48" s="41">
        <v>0</v>
      </c>
      <c r="J48" s="31">
        <f>'03_FBA_Nivel1_Transfer'!H48</f>
        <v>0</v>
      </c>
      <c r="K48" s="32">
        <f>'03_FBA_Nivel1_Transfer'!I48</f>
        <v>0</v>
      </c>
      <c r="L48" s="32">
        <f t="shared" si="13"/>
        <v>0</v>
      </c>
      <c r="M48" s="32">
        <f t="shared" si="14"/>
        <v>0</v>
      </c>
      <c r="N48" s="32">
        <f t="shared" si="15"/>
        <v>0</v>
      </c>
      <c r="O48" s="47">
        <f t="shared" si="16"/>
        <v>0</v>
      </c>
      <c r="P48" s="41">
        <f t="shared" si="17"/>
        <v>0</v>
      </c>
      <c r="Q48" s="32">
        <f t="shared" si="18"/>
        <v>0</v>
      </c>
      <c r="R48" s="31" t="str">
        <f t="shared" si="19"/>
        <v/>
      </c>
      <c r="S48" s="6" t="str">
        <f t="shared" si="20"/>
        <v>HEALTHY</v>
      </c>
      <c r="T48" s="32">
        <f t="shared" si="21"/>
        <v>0</v>
      </c>
      <c r="U48" s="32">
        <f t="shared" si="22"/>
        <v>0</v>
      </c>
      <c r="V48" s="4" t="str">
        <f t="shared" si="23"/>
        <v>-</v>
      </c>
      <c r="W48" s="41">
        <f t="shared" si="24"/>
        <v>0</v>
      </c>
      <c r="X48" s="5" t="str">
        <f t="shared" si="25"/>
        <v>Clear</v>
      </c>
    </row>
    <row r="49" spans="1:24" x14ac:dyDescent="0.3">
      <c r="A49" s="36" t="s">
        <v>319</v>
      </c>
      <c r="B49" s="16" t="s">
        <v>293</v>
      </c>
      <c r="C49" s="4" t="s">
        <v>188</v>
      </c>
      <c r="D49" s="34">
        <v>5.64E-3</v>
      </c>
      <c r="E49" s="41">
        <v>0</v>
      </c>
      <c r="F49" s="41">
        <v>0</v>
      </c>
      <c r="G49" s="41">
        <v>0</v>
      </c>
      <c r="H49" s="41">
        <v>0</v>
      </c>
      <c r="I49" s="41">
        <v>0</v>
      </c>
      <c r="J49" s="31">
        <f>'03_FBA_Nivel1_Transfer'!H49</f>
        <v>0</v>
      </c>
      <c r="K49" s="32">
        <f>'03_FBA_Nivel1_Transfer'!I49</f>
        <v>0</v>
      </c>
      <c r="L49" s="32">
        <f t="shared" si="13"/>
        <v>0</v>
      </c>
      <c r="M49" s="32">
        <f t="shared" si="14"/>
        <v>0</v>
      </c>
      <c r="N49" s="32">
        <f t="shared" si="15"/>
        <v>0</v>
      </c>
      <c r="O49" s="47">
        <f t="shared" si="16"/>
        <v>0</v>
      </c>
      <c r="P49" s="41">
        <f t="shared" si="17"/>
        <v>0</v>
      </c>
      <c r="Q49" s="32">
        <f t="shared" si="18"/>
        <v>0</v>
      </c>
      <c r="R49" s="31" t="str">
        <f t="shared" si="19"/>
        <v/>
      </c>
      <c r="S49" s="6" t="str">
        <f t="shared" si="20"/>
        <v>HEALTHY</v>
      </c>
      <c r="T49" s="32">
        <f t="shared" si="21"/>
        <v>0</v>
      </c>
      <c r="U49" s="32">
        <f t="shared" si="22"/>
        <v>0</v>
      </c>
      <c r="V49" s="4" t="str">
        <f t="shared" si="23"/>
        <v>-</v>
      </c>
      <c r="W49" s="41">
        <f t="shared" si="24"/>
        <v>0</v>
      </c>
      <c r="X49" s="5" t="str">
        <f t="shared" si="25"/>
        <v>Clear</v>
      </c>
    </row>
    <row r="50" spans="1:24" x14ac:dyDescent="0.3">
      <c r="A50" s="36" t="s">
        <v>322</v>
      </c>
      <c r="B50" s="16" t="s">
        <v>293</v>
      </c>
      <c r="C50" s="4" t="s">
        <v>188</v>
      </c>
      <c r="D50" s="34">
        <v>5.64E-3</v>
      </c>
      <c r="E50" s="41">
        <v>0</v>
      </c>
      <c r="F50" s="41">
        <v>0</v>
      </c>
      <c r="G50" s="41">
        <v>0</v>
      </c>
      <c r="H50" s="41">
        <v>0</v>
      </c>
      <c r="I50" s="41">
        <v>0</v>
      </c>
      <c r="J50" s="31">
        <f>'03_FBA_Nivel1_Transfer'!H50</f>
        <v>0</v>
      </c>
      <c r="K50" s="32">
        <f>'03_FBA_Nivel1_Transfer'!I50</f>
        <v>0</v>
      </c>
      <c r="L50" s="32">
        <f t="shared" si="13"/>
        <v>0</v>
      </c>
      <c r="M50" s="32">
        <f t="shared" si="14"/>
        <v>0</v>
      </c>
      <c r="N50" s="32">
        <f t="shared" si="15"/>
        <v>0</v>
      </c>
      <c r="O50" s="47">
        <f t="shared" si="16"/>
        <v>0</v>
      </c>
      <c r="P50" s="41">
        <f t="shared" si="17"/>
        <v>0</v>
      </c>
      <c r="Q50" s="32">
        <f t="shared" si="18"/>
        <v>0</v>
      </c>
      <c r="R50" s="31" t="str">
        <f t="shared" si="19"/>
        <v/>
      </c>
      <c r="S50" s="6" t="str">
        <f t="shared" si="20"/>
        <v>HEALTHY</v>
      </c>
      <c r="T50" s="32">
        <f t="shared" si="21"/>
        <v>0</v>
      </c>
      <c r="U50" s="32">
        <f t="shared" si="22"/>
        <v>0</v>
      </c>
      <c r="V50" s="4" t="str">
        <f t="shared" si="23"/>
        <v>-</v>
      </c>
      <c r="W50" s="41">
        <f t="shared" si="24"/>
        <v>0</v>
      </c>
      <c r="X50" s="5" t="str">
        <f t="shared" si="25"/>
        <v>Clear</v>
      </c>
    </row>
    <row r="51" spans="1:24" x14ac:dyDescent="0.3">
      <c r="A51" s="36" t="s">
        <v>325</v>
      </c>
      <c r="B51" s="16" t="s">
        <v>293</v>
      </c>
      <c r="C51" s="4" t="s">
        <v>188</v>
      </c>
      <c r="D51" s="34">
        <v>5.64E-3</v>
      </c>
      <c r="E51" s="41">
        <v>67</v>
      </c>
      <c r="F51" s="41">
        <v>40</v>
      </c>
      <c r="G51" s="41">
        <v>27</v>
      </c>
      <c r="H51" s="41">
        <v>0</v>
      </c>
      <c r="I51" s="41">
        <v>0</v>
      </c>
      <c r="J51" s="31">
        <f>'03_FBA_Nivel1_Transfer'!H51</f>
        <v>820.4</v>
      </c>
      <c r="K51" s="32">
        <f>'03_FBA_Nivel1_Transfer'!I51</f>
        <v>0</v>
      </c>
      <c r="L51" s="32">
        <f t="shared" si="13"/>
        <v>0.15228</v>
      </c>
      <c r="M51" s="32">
        <f t="shared" si="14"/>
        <v>0</v>
      </c>
      <c r="N51" s="32">
        <f t="shared" si="15"/>
        <v>0</v>
      </c>
      <c r="O51" s="47">
        <f t="shared" si="16"/>
        <v>0.15228</v>
      </c>
      <c r="P51" s="41">
        <f t="shared" si="17"/>
        <v>27</v>
      </c>
      <c r="Q51" s="32">
        <f t="shared" si="18"/>
        <v>22.68</v>
      </c>
      <c r="R51" s="31">
        <f t="shared" si="19"/>
        <v>148.93617021276594</v>
      </c>
      <c r="S51" s="6" t="str">
        <f t="shared" si="20"/>
        <v>DISCOUNT 25% NOW</v>
      </c>
      <c r="T51" s="32">
        <f t="shared" si="21"/>
        <v>1.8273600000000001</v>
      </c>
      <c r="U51" s="32">
        <f t="shared" si="22"/>
        <v>0</v>
      </c>
      <c r="V51" s="4" t="str">
        <f t="shared" si="23"/>
        <v>Before 14th 23:59 PT</v>
      </c>
      <c r="W51" s="41">
        <f t="shared" si="24"/>
        <v>27</v>
      </c>
      <c r="X51" s="5" t="str">
        <f t="shared" si="25"/>
        <v>Discount to accelerate FIFO</v>
      </c>
    </row>
    <row r="52" spans="1:24" x14ac:dyDescent="0.3">
      <c r="A52" s="36" t="s">
        <v>328</v>
      </c>
      <c r="B52" s="16" t="s">
        <v>293</v>
      </c>
      <c r="C52" s="4" t="s">
        <v>188</v>
      </c>
      <c r="D52" s="34">
        <v>5.64E-3</v>
      </c>
      <c r="E52" s="41">
        <v>0</v>
      </c>
      <c r="F52" s="41">
        <v>0</v>
      </c>
      <c r="G52" s="41">
        <v>0</v>
      </c>
      <c r="H52" s="41">
        <v>0</v>
      </c>
      <c r="I52" s="41">
        <v>0</v>
      </c>
      <c r="J52" s="31">
        <f>'03_FBA_Nivel1_Transfer'!H52</f>
        <v>0</v>
      </c>
      <c r="K52" s="32">
        <f>'03_FBA_Nivel1_Transfer'!I52</f>
        <v>0</v>
      </c>
      <c r="L52" s="32">
        <f t="shared" si="13"/>
        <v>0</v>
      </c>
      <c r="M52" s="32">
        <f t="shared" si="14"/>
        <v>0</v>
      </c>
      <c r="N52" s="32">
        <f t="shared" si="15"/>
        <v>0</v>
      </c>
      <c r="O52" s="47">
        <f t="shared" si="16"/>
        <v>0</v>
      </c>
      <c r="P52" s="41">
        <f t="shared" si="17"/>
        <v>0</v>
      </c>
      <c r="Q52" s="32">
        <f t="shared" si="18"/>
        <v>0</v>
      </c>
      <c r="R52" s="31" t="str">
        <f t="shared" si="19"/>
        <v/>
      </c>
      <c r="S52" s="6" t="str">
        <f t="shared" si="20"/>
        <v>HEALTHY</v>
      </c>
      <c r="T52" s="32">
        <f t="shared" si="21"/>
        <v>0</v>
      </c>
      <c r="U52" s="32">
        <f t="shared" si="22"/>
        <v>0</v>
      </c>
      <c r="V52" s="4" t="str">
        <f t="shared" si="23"/>
        <v>-</v>
      </c>
      <c r="W52" s="41">
        <f t="shared" si="24"/>
        <v>0</v>
      </c>
      <c r="X52" s="5" t="str">
        <f t="shared" si="25"/>
        <v>Clear</v>
      </c>
    </row>
    <row r="53" spans="1:24" x14ac:dyDescent="0.3">
      <c r="A53" s="36" t="s">
        <v>331</v>
      </c>
      <c r="B53" s="16" t="s">
        <v>293</v>
      </c>
      <c r="C53" s="4" t="s">
        <v>221</v>
      </c>
      <c r="D53" s="34">
        <v>5.64E-3</v>
      </c>
      <c r="E53" s="41">
        <v>470</v>
      </c>
      <c r="F53" s="41">
        <v>220</v>
      </c>
      <c r="G53" s="41">
        <v>44</v>
      </c>
      <c r="H53" s="41">
        <v>0</v>
      </c>
      <c r="I53" s="41">
        <v>0</v>
      </c>
      <c r="J53" s="31">
        <f>'03_FBA_Nivel1_Transfer'!H53</f>
        <v>21.13</v>
      </c>
      <c r="K53" s="32">
        <f>'03_FBA_Nivel1_Transfer'!I53</f>
        <v>0.32</v>
      </c>
      <c r="L53" s="32">
        <f t="shared" si="13"/>
        <v>0.24815999999999999</v>
      </c>
      <c r="M53" s="32">
        <f t="shared" si="14"/>
        <v>0</v>
      </c>
      <c r="N53" s="32">
        <f t="shared" si="15"/>
        <v>0</v>
      </c>
      <c r="O53" s="47">
        <f t="shared" si="16"/>
        <v>0.24815999999999999</v>
      </c>
      <c r="P53" s="41">
        <f t="shared" si="17"/>
        <v>44</v>
      </c>
      <c r="Q53" s="32">
        <f t="shared" si="18"/>
        <v>36.96</v>
      </c>
      <c r="R53" s="31">
        <f t="shared" si="19"/>
        <v>148.93617021276597</v>
      </c>
      <c r="S53" s="6" t="str">
        <f t="shared" si="20"/>
        <v>DISCOUNT 25% NOW</v>
      </c>
      <c r="T53" s="32">
        <f t="shared" si="21"/>
        <v>2.9779200000000001</v>
      </c>
      <c r="U53" s="32">
        <f t="shared" si="22"/>
        <v>0</v>
      </c>
      <c r="V53" s="4" t="str">
        <f t="shared" si="23"/>
        <v>Before 14th 23:59 PT</v>
      </c>
      <c r="W53" s="41">
        <f t="shared" si="24"/>
        <v>44</v>
      </c>
      <c r="X53" s="5" t="str">
        <f t="shared" si="25"/>
        <v>Discount to accelerate FIFO</v>
      </c>
    </row>
    <row r="54" spans="1:24" x14ac:dyDescent="0.3">
      <c r="A54" s="36" t="s">
        <v>334</v>
      </c>
      <c r="B54" s="16" t="s">
        <v>293</v>
      </c>
      <c r="C54" s="4" t="s">
        <v>221</v>
      </c>
      <c r="D54" s="34">
        <v>5.64E-3</v>
      </c>
      <c r="E54" s="41">
        <v>57</v>
      </c>
      <c r="F54" s="41">
        <v>27</v>
      </c>
      <c r="G54" s="41">
        <v>5</v>
      </c>
      <c r="H54" s="41">
        <v>0</v>
      </c>
      <c r="I54" s="41">
        <v>0</v>
      </c>
      <c r="J54" s="31">
        <f>'03_FBA_Nivel1_Transfer'!H54</f>
        <v>30.53</v>
      </c>
      <c r="K54" s="32">
        <f>'03_FBA_Nivel1_Transfer'!I54</f>
        <v>0</v>
      </c>
      <c r="L54" s="32">
        <f t="shared" si="13"/>
        <v>2.8199999999999999E-2</v>
      </c>
      <c r="M54" s="32">
        <f t="shared" si="14"/>
        <v>0</v>
      </c>
      <c r="N54" s="32">
        <f t="shared" si="15"/>
        <v>0</v>
      </c>
      <c r="O54" s="47">
        <f t="shared" si="16"/>
        <v>2.8199999999999999E-2</v>
      </c>
      <c r="P54" s="41">
        <f t="shared" si="17"/>
        <v>5</v>
      </c>
      <c r="Q54" s="32">
        <f t="shared" si="18"/>
        <v>4.2</v>
      </c>
      <c r="R54" s="31">
        <f t="shared" si="19"/>
        <v>148.93617021276597</v>
      </c>
      <c r="S54" s="6" t="str">
        <f t="shared" si="20"/>
        <v>DISCOUNT 25% NOW</v>
      </c>
      <c r="T54" s="32">
        <f t="shared" si="21"/>
        <v>0.33839999999999998</v>
      </c>
      <c r="U54" s="32">
        <f t="shared" si="22"/>
        <v>0</v>
      </c>
      <c r="V54" s="4" t="str">
        <f t="shared" si="23"/>
        <v>Before 14th 23:59 PT</v>
      </c>
      <c r="W54" s="41">
        <f t="shared" si="24"/>
        <v>5</v>
      </c>
      <c r="X54" s="5" t="str">
        <f t="shared" si="25"/>
        <v>Discount to accelerate FIFO</v>
      </c>
    </row>
    <row r="55" spans="1:24" x14ac:dyDescent="0.3">
      <c r="A55" s="36" t="s">
        <v>337</v>
      </c>
      <c r="B55" s="16" t="s">
        <v>293</v>
      </c>
      <c r="C55" s="4" t="s">
        <v>221</v>
      </c>
      <c r="D55" s="34">
        <v>5.64E-3</v>
      </c>
      <c r="E55" s="41">
        <v>533</v>
      </c>
      <c r="F55" s="41">
        <v>250</v>
      </c>
      <c r="G55" s="41">
        <v>50</v>
      </c>
      <c r="H55" s="41">
        <v>0</v>
      </c>
      <c r="I55" s="41">
        <v>0</v>
      </c>
      <c r="J55" s="31">
        <f>'03_FBA_Nivel1_Transfer'!H55</f>
        <v>23.25</v>
      </c>
      <c r="K55" s="32">
        <f>'03_FBA_Nivel1_Transfer'!I55</f>
        <v>0.32</v>
      </c>
      <c r="L55" s="32">
        <f t="shared" si="13"/>
        <v>0.28200000000000003</v>
      </c>
      <c r="M55" s="32">
        <f t="shared" si="14"/>
        <v>0</v>
      </c>
      <c r="N55" s="32">
        <f t="shared" si="15"/>
        <v>0</v>
      </c>
      <c r="O55" s="47">
        <f t="shared" si="16"/>
        <v>0.28200000000000003</v>
      </c>
      <c r="P55" s="41">
        <f t="shared" si="17"/>
        <v>50</v>
      </c>
      <c r="Q55" s="32">
        <f t="shared" si="18"/>
        <v>42</v>
      </c>
      <c r="R55" s="31">
        <f t="shared" si="19"/>
        <v>148.93617021276594</v>
      </c>
      <c r="S55" s="6" t="str">
        <f t="shared" si="20"/>
        <v>DISCOUNT 25% NOW</v>
      </c>
      <c r="T55" s="32">
        <f t="shared" si="21"/>
        <v>3.3840000000000003</v>
      </c>
      <c r="U55" s="32">
        <f t="shared" si="22"/>
        <v>0</v>
      </c>
      <c r="V55" s="4" t="str">
        <f t="shared" si="23"/>
        <v>Before 14th 23:59 PT</v>
      </c>
      <c r="W55" s="41">
        <f t="shared" si="24"/>
        <v>50</v>
      </c>
      <c r="X55" s="5" t="str">
        <f t="shared" si="25"/>
        <v>Discount to accelerate FIFO</v>
      </c>
    </row>
    <row r="56" spans="1:24" x14ac:dyDescent="0.3">
      <c r="A56" s="36" t="s">
        <v>340</v>
      </c>
      <c r="B56" s="16" t="s">
        <v>293</v>
      </c>
      <c r="C56" s="4" t="s">
        <v>172</v>
      </c>
      <c r="D56" s="34">
        <v>5.64E-3</v>
      </c>
      <c r="E56" s="41">
        <v>369</v>
      </c>
      <c r="F56" s="41">
        <v>173</v>
      </c>
      <c r="G56" s="41">
        <v>34</v>
      </c>
      <c r="H56" s="41">
        <v>0</v>
      </c>
      <c r="I56" s="41">
        <v>0</v>
      </c>
      <c r="J56" s="31">
        <f>'03_FBA_Nivel1_Transfer'!H56</f>
        <v>38.450000000000003</v>
      </c>
      <c r="K56" s="32">
        <f>'03_FBA_Nivel1_Transfer'!I56</f>
        <v>0</v>
      </c>
      <c r="L56" s="32">
        <f t="shared" si="13"/>
        <v>0.19176000000000001</v>
      </c>
      <c r="M56" s="32">
        <f t="shared" si="14"/>
        <v>0</v>
      </c>
      <c r="N56" s="32">
        <f t="shared" si="15"/>
        <v>0</v>
      </c>
      <c r="O56" s="47">
        <f t="shared" si="16"/>
        <v>0.19176000000000001</v>
      </c>
      <c r="P56" s="41">
        <f t="shared" si="17"/>
        <v>34</v>
      </c>
      <c r="Q56" s="32">
        <f t="shared" si="18"/>
        <v>28.56</v>
      </c>
      <c r="R56" s="31">
        <f t="shared" si="19"/>
        <v>148.93617021276594</v>
      </c>
      <c r="S56" s="6" t="str">
        <f t="shared" si="20"/>
        <v>DISCOUNT 25% NOW</v>
      </c>
      <c r="T56" s="32">
        <f t="shared" si="21"/>
        <v>2.3011200000000001</v>
      </c>
      <c r="U56" s="32">
        <f t="shared" si="22"/>
        <v>0</v>
      </c>
      <c r="V56" s="4" t="str">
        <f t="shared" si="23"/>
        <v>Before 14th 23:59 PT</v>
      </c>
      <c r="W56" s="41">
        <f t="shared" si="24"/>
        <v>34</v>
      </c>
      <c r="X56" s="5" t="str">
        <f t="shared" si="25"/>
        <v>Discount to accelerate FIFO</v>
      </c>
    </row>
    <row r="57" spans="1:24" x14ac:dyDescent="0.3">
      <c r="A57" s="36" t="s">
        <v>343</v>
      </c>
      <c r="B57" s="16" t="s">
        <v>293</v>
      </c>
      <c r="C57" s="4" t="s">
        <v>221</v>
      </c>
      <c r="D57" s="34">
        <v>5.64E-3</v>
      </c>
      <c r="E57" s="41">
        <v>84</v>
      </c>
      <c r="F57" s="41">
        <v>40</v>
      </c>
      <c r="G57" s="41">
        <v>8</v>
      </c>
      <c r="H57" s="41">
        <v>0</v>
      </c>
      <c r="I57" s="41">
        <v>0</v>
      </c>
      <c r="J57" s="31">
        <f>'03_FBA_Nivel1_Transfer'!H57</f>
        <v>29.46</v>
      </c>
      <c r="K57" s="32">
        <f>'03_FBA_Nivel1_Transfer'!I57</f>
        <v>0</v>
      </c>
      <c r="L57" s="32">
        <f t="shared" si="13"/>
        <v>4.512E-2</v>
      </c>
      <c r="M57" s="32">
        <f t="shared" si="14"/>
        <v>0</v>
      </c>
      <c r="N57" s="32">
        <f t="shared" si="15"/>
        <v>0</v>
      </c>
      <c r="O57" s="47">
        <f t="shared" si="16"/>
        <v>4.512E-2</v>
      </c>
      <c r="P57" s="41">
        <f t="shared" si="17"/>
        <v>8</v>
      </c>
      <c r="Q57" s="32">
        <f t="shared" si="18"/>
        <v>6.72</v>
      </c>
      <c r="R57" s="31">
        <f t="shared" si="19"/>
        <v>148.93617021276594</v>
      </c>
      <c r="S57" s="6" t="str">
        <f t="shared" si="20"/>
        <v>DISCOUNT 25% NOW</v>
      </c>
      <c r="T57" s="32">
        <f t="shared" si="21"/>
        <v>0.54144000000000003</v>
      </c>
      <c r="U57" s="32">
        <f t="shared" si="22"/>
        <v>0</v>
      </c>
      <c r="V57" s="4" t="str">
        <f t="shared" si="23"/>
        <v>Before 14th 23:59 PT</v>
      </c>
      <c r="W57" s="41">
        <f t="shared" si="24"/>
        <v>8</v>
      </c>
      <c r="X57" s="5" t="str">
        <f t="shared" si="25"/>
        <v>Discount to accelerate FIFO</v>
      </c>
    </row>
    <row r="58" spans="1:24" x14ac:dyDescent="0.3">
      <c r="A58" s="36" t="s">
        <v>346</v>
      </c>
      <c r="B58" s="16" t="s">
        <v>293</v>
      </c>
      <c r="C58" s="4" t="s">
        <v>184</v>
      </c>
      <c r="D58" s="34">
        <v>5.64E-3</v>
      </c>
      <c r="E58" s="41">
        <v>0</v>
      </c>
      <c r="F58" s="41">
        <v>0</v>
      </c>
      <c r="G58" s="41">
        <v>0</v>
      </c>
      <c r="H58" s="41">
        <v>0</v>
      </c>
      <c r="I58" s="41">
        <v>0</v>
      </c>
      <c r="J58" s="31">
        <f>'03_FBA_Nivel1_Transfer'!H58</f>
        <v>33.82</v>
      </c>
      <c r="K58" s="32">
        <f>'03_FBA_Nivel1_Transfer'!I58</f>
        <v>0</v>
      </c>
      <c r="L58" s="32">
        <f t="shared" si="13"/>
        <v>0</v>
      </c>
      <c r="M58" s="32">
        <f t="shared" si="14"/>
        <v>0</v>
      </c>
      <c r="N58" s="32">
        <f t="shared" si="15"/>
        <v>0</v>
      </c>
      <c r="O58" s="47">
        <f t="shared" si="16"/>
        <v>0</v>
      </c>
      <c r="P58" s="41">
        <f t="shared" si="17"/>
        <v>0</v>
      </c>
      <c r="Q58" s="32">
        <f t="shared" si="18"/>
        <v>0</v>
      </c>
      <c r="R58" s="31" t="str">
        <f t="shared" si="19"/>
        <v/>
      </c>
      <c r="S58" s="6" t="str">
        <f t="shared" si="20"/>
        <v>HEALTHY</v>
      </c>
      <c r="T58" s="32">
        <f t="shared" si="21"/>
        <v>0</v>
      </c>
      <c r="U58" s="32">
        <f t="shared" si="22"/>
        <v>0</v>
      </c>
      <c r="V58" s="4" t="str">
        <f t="shared" si="23"/>
        <v>-</v>
      </c>
      <c r="W58" s="41">
        <f t="shared" si="24"/>
        <v>0</v>
      </c>
      <c r="X58" s="5" t="str">
        <f t="shared" si="25"/>
        <v>Clear</v>
      </c>
    </row>
    <row r="59" spans="1:24" x14ac:dyDescent="0.3">
      <c r="A59" s="36" t="s">
        <v>349</v>
      </c>
      <c r="B59" s="16" t="s">
        <v>293</v>
      </c>
      <c r="C59" s="4" t="s">
        <v>172</v>
      </c>
      <c r="D59" s="34">
        <v>5.64E-3</v>
      </c>
      <c r="E59" s="41">
        <v>61</v>
      </c>
      <c r="F59" s="41">
        <v>28</v>
      </c>
      <c r="G59" s="41">
        <v>6</v>
      </c>
      <c r="H59" s="41">
        <v>0</v>
      </c>
      <c r="I59" s="41">
        <v>0</v>
      </c>
      <c r="J59" s="31">
        <f>'03_FBA_Nivel1_Transfer'!H59</f>
        <v>29.5</v>
      </c>
      <c r="K59" s="32">
        <f>'03_FBA_Nivel1_Transfer'!I59</f>
        <v>0</v>
      </c>
      <c r="L59" s="32">
        <f t="shared" si="13"/>
        <v>3.3840000000000002E-2</v>
      </c>
      <c r="M59" s="32">
        <f t="shared" si="14"/>
        <v>0</v>
      </c>
      <c r="N59" s="32">
        <f t="shared" si="15"/>
        <v>0</v>
      </c>
      <c r="O59" s="47">
        <f t="shared" si="16"/>
        <v>3.3840000000000002E-2</v>
      </c>
      <c r="P59" s="41">
        <f t="shared" si="17"/>
        <v>6</v>
      </c>
      <c r="Q59" s="32">
        <f t="shared" si="18"/>
        <v>5.04</v>
      </c>
      <c r="R59" s="31">
        <f t="shared" si="19"/>
        <v>148.93617021276594</v>
      </c>
      <c r="S59" s="6" t="str">
        <f t="shared" si="20"/>
        <v>DISCOUNT 25% NOW</v>
      </c>
      <c r="T59" s="32">
        <f t="shared" si="21"/>
        <v>0.40608</v>
      </c>
      <c r="U59" s="32">
        <f t="shared" si="22"/>
        <v>0</v>
      </c>
      <c r="V59" s="4" t="str">
        <f t="shared" si="23"/>
        <v>Before 14th 23:59 PT</v>
      </c>
      <c r="W59" s="41">
        <f t="shared" si="24"/>
        <v>6</v>
      </c>
      <c r="X59" s="5" t="str">
        <f t="shared" si="25"/>
        <v>Discount to accelerate FIFO</v>
      </c>
    </row>
    <row r="60" spans="1:24" x14ac:dyDescent="0.3">
      <c r="A60" s="36" t="s">
        <v>352</v>
      </c>
      <c r="B60" s="16" t="s">
        <v>293</v>
      </c>
      <c r="C60" s="4" t="s">
        <v>179</v>
      </c>
      <c r="D60" s="34">
        <v>5.64E-3</v>
      </c>
      <c r="E60" s="41">
        <v>0</v>
      </c>
      <c r="F60" s="41">
        <v>0</v>
      </c>
      <c r="G60" s="41">
        <v>0</v>
      </c>
      <c r="H60" s="41">
        <v>0</v>
      </c>
      <c r="I60" s="41">
        <v>0</v>
      </c>
      <c r="J60" s="31">
        <f>'03_FBA_Nivel1_Transfer'!H60</f>
        <v>0</v>
      </c>
      <c r="K60" s="32">
        <f>'03_FBA_Nivel1_Transfer'!I60</f>
        <v>0</v>
      </c>
      <c r="L60" s="32">
        <f t="shared" si="13"/>
        <v>0</v>
      </c>
      <c r="M60" s="32">
        <f t="shared" si="14"/>
        <v>0</v>
      </c>
      <c r="N60" s="32">
        <f t="shared" si="15"/>
        <v>0</v>
      </c>
      <c r="O60" s="47">
        <f t="shared" si="16"/>
        <v>0</v>
      </c>
      <c r="P60" s="41">
        <f t="shared" si="17"/>
        <v>0</v>
      </c>
      <c r="Q60" s="32">
        <f t="shared" si="18"/>
        <v>0</v>
      </c>
      <c r="R60" s="31" t="str">
        <f t="shared" si="19"/>
        <v/>
      </c>
      <c r="S60" s="6" t="str">
        <f t="shared" si="20"/>
        <v>HEALTHY</v>
      </c>
      <c r="T60" s="32">
        <f t="shared" si="21"/>
        <v>0</v>
      </c>
      <c r="U60" s="32">
        <f t="shared" si="22"/>
        <v>0</v>
      </c>
      <c r="V60" s="4" t="str">
        <f t="shared" si="23"/>
        <v>-</v>
      </c>
      <c r="W60" s="41">
        <f t="shared" si="24"/>
        <v>0</v>
      </c>
      <c r="X60" s="5" t="str">
        <f t="shared" si="25"/>
        <v>Clear</v>
      </c>
    </row>
    <row r="61" spans="1:24" x14ac:dyDescent="0.3">
      <c r="A61" s="36" t="s">
        <v>355</v>
      </c>
      <c r="B61" s="16" t="s">
        <v>293</v>
      </c>
      <c r="C61" s="4" t="s">
        <v>184</v>
      </c>
      <c r="D61" s="34">
        <v>5.64E-3</v>
      </c>
      <c r="E61" s="41">
        <v>50</v>
      </c>
      <c r="F61" s="41">
        <v>26</v>
      </c>
      <c r="G61" s="41">
        <v>10</v>
      </c>
      <c r="H61" s="41">
        <v>0</v>
      </c>
      <c r="I61" s="41">
        <v>0</v>
      </c>
      <c r="J61" s="31">
        <f>'03_FBA_Nivel1_Transfer'!H61</f>
        <v>33</v>
      </c>
      <c r="K61" s="32">
        <f>'03_FBA_Nivel1_Transfer'!I61</f>
        <v>0</v>
      </c>
      <c r="L61" s="32">
        <f t="shared" si="13"/>
        <v>5.6399999999999999E-2</v>
      </c>
      <c r="M61" s="32">
        <f t="shared" si="14"/>
        <v>0</v>
      </c>
      <c r="N61" s="32">
        <f t="shared" si="15"/>
        <v>0</v>
      </c>
      <c r="O61" s="47">
        <f t="shared" si="16"/>
        <v>5.6399999999999999E-2</v>
      </c>
      <c r="P61" s="41">
        <f t="shared" si="17"/>
        <v>10</v>
      </c>
      <c r="Q61" s="32">
        <f t="shared" si="18"/>
        <v>8.4</v>
      </c>
      <c r="R61" s="31">
        <f t="shared" si="19"/>
        <v>148.93617021276597</v>
      </c>
      <c r="S61" s="6" t="str">
        <f t="shared" si="20"/>
        <v>DISCOUNT 25% NOW</v>
      </c>
      <c r="T61" s="32">
        <f t="shared" si="21"/>
        <v>0.67679999999999996</v>
      </c>
      <c r="U61" s="32">
        <f t="shared" si="22"/>
        <v>0</v>
      </c>
      <c r="V61" s="4" t="str">
        <f t="shared" si="23"/>
        <v>Before 14th 23:59 PT</v>
      </c>
      <c r="W61" s="41">
        <f t="shared" si="24"/>
        <v>10</v>
      </c>
      <c r="X61" s="5" t="str">
        <f t="shared" si="25"/>
        <v>Discount to accelerate FIFO</v>
      </c>
    </row>
    <row r="62" spans="1:24" x14ac:dyDescent="0.3">
      <c r="A62" s="36" t="s">
        <v>358</v>
      </c>
      <c r="B62" s="16" t="s">
        <v>293</v>
      </c>
      <c r="C62" s="4" t="s">
        <v>188</v>
      </c>
      <c r="D62" s="34">
        <v>5.64E-3</v>
      </c>
      <c r="E62" s="41">
        <v>0</v>
      </c>
      <c r="F62" s="41">
        <v>0</v>
      </c>
      <c r="G62" s="41">
        <v>0</v>
      </c>
      <c r="H62" s="41">
        <v>0</v>
      </c>
      <c r="I62" s="41">
        <v>0</v>
      </c>
      <c r="J62" s="31">
        <f>'03_FBA_Nivel1_Transfer'!H62</f>
        <v>0</v>
      </c>
      <c r="K62" s="32">
        <f>'03_FBA_Nivel1_Transfer'!I62</f>
        <v>0</v>
      </c>
      <c r="L62" s="32">
        <f t="shared" si="13"/>
        <v>0</v>
      </c>
      <c r="M62" s="32">
        <f t="shared" si="14"/>
        <v>0</v>
      </c>
      <c r="N62" s="32">
        <f t="shared" si="15"/>
        <v>0</v>
      </c>
      <c r="O62" s="47">
        <f t="shared" si="16"/>
        <v>0</v>
      </c>
      <c r="P62" s="41">
        <f t="shared" si="17"/>
        <v>0</v>
      </c>
      <c r="Q62" s="32">
        <f t="shared" si="18"/>
        <v>0</v>
      </c>
      <c r="R62" s="31" t="str">
        <f t="shared" si="19"/>
        <v/>
      </c>
      <c r="S62" s="6" t="str">
        <f t="shared" si="20"/>
        <v>HEALTHY</v>
      </c>
      <c r="T62" s="32">
        <f t="shared" si="21"/>
        <v>0</v>
      </c>
      <c r="U62" s="32">
        <f t="shared" si="22"/>
        <v>0</v>
      </c>
      <c r="V62" s="4" t="str">
        <f t="shared" si="23"/>
        <v>-</v>
      </c>
      <c r="W62" s="41">
        <f t="shared" si="24"/>
        <v>0</v>
      </c>
      <c r="X62" s="5" t="str">
        <f t="shared" si="25"/>
        <v>Clear</v>
      </c>
    </row>
    <row r="63" spans="1:24" x14ac:dyDescent="0.3">
      <c r="A63" s="36" t="s">
        <v>361</v>
      </c>
      <c r="B63" s="16" t="s">
        <v>293</v>
      </c>
      <c r="C63" s="4" t="s">
        <v>179</v>
      </c>
      <c r="D63" s="34">
        <v>5.64E-3</v>
      </c>
      <c r="E63" s="41">
        <v>28</v>
      </c>
      <c r="F63" s="41">
        <v>15</v>
      </c>
      <c r="G63" s="41">
        <v>6</v>
      </c>
      <c r="H63" s="41">
        <v>0</v>
      </c>
      <c r="I63" s="41">
        <v>0</v>
      </c>
      <c r="J63" s="31">
        <f>'03_FBA_Nivel1_Transfer'!H63</f>
        <v>49.14</v>
      </c>
      <c r="K63" s="32">
        <f>'03_FBA_Nivel1_Transfer'!I63</f>
        <v>0</v>
      </c>
      <c r="L63" s="32">
        <f t="shared" si="13"/>
        <v>3.3840000000000002E-2</v>
      </c>
      <c r="M63" s="32">
        <f t="shared" si="14"/>
        <v>0</v>
      </c>
      <c r="N63" s="32">
        <f t="shared" si="15"/>
        <v>0</v>
      </c>
      <c r="O63" s="47">
        <f t="shared" si="16"/>
        <v>3.3840000000000002E-2</v>
      </c>
      <c r="P63" s="41">
        <f t="shared" si="17"/>
        <v>6</v>
      </c>
      <c r="Q63" s="32">
        <f t="shared" si="18"/>
        <v>5.04</v>
      </c>
      <c r="R63" s="31">
        <f t="shared" si="19"/>
        <v>148.93617021276594</v>
      </c>
      <c r="S63" s="6" t="str">
        <f t="shared" si="20"/>
        <v>DISCOUNT 25% NOW</v>
      </c>
      <c r="T63" s="32">
        <f t="shared" si="21"/>
        <v>0.40608</v>
      </c>
      <c r="U63" s="32">
        <f t="shared" si="22"/>
        <v>0</v>
      </c>
      <c r="V63" s="4" t="str">
        <f t="shared" si="23"/>
        <v>Before 14th 23:59 PT</v>
      </c>
      <c r="W63" s="41">
        <f t="shared" si="24"/>
        <v>6</v>
      </c>
      <c r="X63" s="5" t="str">
        <f t="shared" si="25"/>
        <v>Discount to accelerate FIFO</v>
      </c>
    </row>
    <row r="64" spans="1:24" x14ac:dyDescent="0.3">
      <c r="A64" s="36" t="s">
        <v>364</v>
      </c>
      <c r="B64" s="16" t="s">
        <v>293</v>
      </c>
      <c r="C64" s="4" t="s">
        <v>188</v>
      </c>
      <c r="D64" s="34">
        <v>5.64E-3</v>
      </c>
      <c r="E64" s="41">
        <v>0</v>
      </c>
      <c r="F64" s="41">
        <v>0</v>
      </c>
      <c r="G64" s="41">
        <v>0</v>
      </c>
      <c r="H64" s="41">
        <v>0</v>
      </c>
      <c r="I64" s="41">
        <v>0</v>
      </c>
      <c r="J64" s="31">
        <f>'03_FBA_Nivel1_Transfer'!H64</f>
        <v>0</v>
      </c>
      <c r="K64" s="32">
        <f>'03_FBA_Nivel1_Transfer'!I64</f>
        <v>0</v>
      </c>
      <c r="L64" s="32">
        <f t="shared" si="13"/>
        <v>0</v>
      </c>
      <c r="M64" s="32">
        <f t="shared" si="14"/>
        <v>0</v>
      </c>
      <c r="N64" s="32">
        <f t="shared" si="15"/>
        <v>0</v>
      </c>
      <c r="O64" s="47">
        <f t="shared" si="16"/>
        <v>0</v>
      </c>
      <c r="P64" s="41">
        <f t="shared" si="17"/>
        <v>0</v>
      </c>
      <c r="Q64" s="32">
        <f t="shared" si="18"/>
        <v>0</v>
      </c>
      <c r="R64" s="31" t="str">
        <f t="shared" si="19"/>
        <v/>
      </c>
      <c r="S64" s="6" t="str">
        <f t="shared" si="20"/>
        <v>HEALTHY</v>
      </c>
      <c r="T64" s="32">
        <f t="shared" si="21"/>
        <v>0</v>
      </c>
      <c r="U64" s="32">
        <f t="shared" si="22"/>
        <v>0</v>
      </c>
      <c r="V64" s="4" t="str">
        <f t="shared" si="23"/>
        <v>-</v>
      </c>
      <c r="W64" s="41">
        <f t="shared" si="24"/>
        <v>0</v>
      </c>
      <c r="X64" s="5" t="str">
        <f t="shared" si="25"/>
        <v>Clear</v>
      </c>
    </row>
    <row r="65" spans="1:24" x14ac:dyDescent="0.3">
      <c r="A65" s="36" t="s">
        <v>367</v>
      </c>
      <c r="B65" s="16" t="s">
        <v>293</v>
      </c>
      <c r="C65" s="4" t="s">
        <v>221</v>
      </c>
      <c r="D65" s="34">
        <v>5.64E-3</v>
      </c>
      <c r="E65" s="41">
        <v>949</v>
      </c>
      <c r="F65" s="41">
        <v>445</v>
      </c>
      <c r="G65" s="41">
        <v>89</v>
      </c>
      <c r="H65" s="41">
        <v>0</v>
      </c>
      <c r="I65" s="41">
        <v>0</v>
      </c>
      <c r="J65" s="31">
        <f>'03_FBA_Nivel1_Transfer'!H65</f>
        <v>35.33</v>
      </c>
      <c r="K65" s="32">
        <f>'03_FBA_Nivel1_Transfer'!I65</f>
        <v>0</v>
      </c>
      <c r="L65" s="32">
        <f t="shared" si="13"/>
        <v>0.50195999999999996</v>
      </c>
      <c r="M65" s="32">
        <f t="shared" si="14"/>
        <v>0</v>
      </c>
      <c r="N65" s="32">
        <f t="shared" si="15"/>
        <v>0</v>
      </c>
      <c r="O65" s="47">
        <f t="shared" si="16"/>
        <v>0.50195999999999996</v>
      </c>
      <c r="P65" s="41">
        <f t="shared" si="17"/>
        <v>89</v>
      </c>
      <c r="Q65" s="32">
        <f t="shared" si="18"/>
        <v>74.759999999999991</v>
      </c>
      <c r="R65" s="31">
        <f t="shared" si="19"/>
        <v>148.93617021276594</v>
      </c>
      <c r="S65" s="6" t="str">
        <f t="shared" si="20"/>
        <v>DISCOUNT 25% NOW</v>
      </c>
      <c r="T65" s="32">
        <f t="shared" si="21"/>
        <v>6.0235199999999995</v>
      </c>
      <c r="U65" s="32">
        <f t="shared" si="22"/>
        <v>0</v>
      </c>
      <c r="V65" s="4" t="str">
        <f t="shared" si="23"/>
        <v>Before 14th 23:59 PT</v>
      </c>
      <c r="W65" s="41">
        <f t="shared" si="24"/>
        <v>89</v>
      </c>
      <c r="X65" s="5" t="str">
        <f t="shared" si="25"/>
        <v>Discount to accelerate FIFO</v>
      </c>
    </row>
    <row r="66" spans="1:24" x14ac:dyDescent="0.3">
      <c r="A66" s="36" t="s">
        <v>370</v>
      </c>
      <c r="B66" s="16" t="s">
        <v>293</v>
      </c>
      <c r="C66" s="4" t="s">
        <v>172</v>
      </c>
      <c r="D66" s="34">
        <v>5.64E-3</v>
      </c>
      <c r="E66" s="41">
        <v>370</v>
      </c>
      <c r="F66" s="41">
        <v>173</v>
      </c>
      <c r="G66" s="41">
        <v>35</v>
      </c>
      <c r="H66" s="41">
        <v>0</v>
      </c>
      <c r="I66" s="41">
        <v>0</v>
      </c>
      <c r="J66" s="31">
        <f>'03_FBA_Nivel1_Transfer'!H66</f>
        <v>26.87</v>
      </c>
      <c r="K66" s="32">
        <f>'03_FBA_Nivel1_Transfer'!I66</f>
        <v>0.32</v>
      </c>
      <c r="L66" s="32">
        <f t="shared" si="13"/>
        <v>0.19739999999999999</v>
      </c>
      <c r="M66" s="32">
        <f t="shared" si="14"/>
        <v>0</v>
      </c>
      <c r="N66" s="32">
        <f t="shared" si="15"/>
        <v>0</v>
      </c>
      <c r="O66" s="47">
        <f t="shared" si="16"/>
        <v>0.19739999999999999</v>
      </c>
      <c r="P66" s="41">
        <f t="shared" si="17"/>
        <v>35</v>
      </c>
      <c r="Q66" s="32">
        <f t="shared" si="18"/>
        <v>29.4</v>
      </c>
      <c r="R66" s="31">
        <f t="shared" si="19"/>
        <v>148.93617021276594</v>
      </c>
      <c r="S66" s="6" t="str">
        <f t="shared" si="20"/>
        <v>DISCOUNT 25% NOW</v>
      </c>
      <c r="T66" s="32">
        <f t="shared" si="21"/>
        <v>2.3687999999999998</v>
      </c>
      <c r="U66" s="32">
        <f t="shared" si="22"/>
        <v>0</v>
      </c>
      <c r="V66" s="4" t="str">
        <f t="shared" si="23"/>
        <v>Before 14th 23:59 PT</v>
      </c>
      <c r="W66" s="41">
        <f t="shared" si="24"/>
        <v>35</v>
      </c>
      <c r="X66" s="5" t="str">
        <f t="shared" si="25"/>
        <v>Discount to accelerate FIFO</v>
      </c>
    </row>
    <row r="67" spans="1:24" x14ac:dyDescent="0.3">
      <c r="A67" s="36" t="s">
        <v>373</v>
      </c>
      <c r="B67" s="16" t="s">
        <v>293</v>
      </c>
      <c r="C67" s="4" t="s">
        <v>221</v>
      </c>
      <c r="D67" s="34">
        <v>5.64E-3</v>
      </c>
      <c r="E67" s="41">
        <v>744</v>
      </c>
      <c r="F67" s="41">
        <v>348</v>
      </c>
      <c r="G67" s="41">
        <v>70</v>
      </c>
      <c r="H67" s="41">
        <v>0</v>
      </c>
      <c r="I67" s="41">
        <v>0</v>
      </c>
      <c r="J67" s="31">
        <f>'03_FBA_Nivel1_Transfer'!H67</f>
        <v>31.74</v>
      </c>
      <c r="K67" s="32">
        <f>'03_FBA_Nivel1_Transfer'!I67</f>
        <v>0</v>
      </c>
      <c r="L67" s="32">
        <f t="shared" si="13"/>
        <v>0.39479999999999998</v>
      </c>
      <c r="M67" s="32">
        <f t="shared" si="14"/>
        <v>0</v>
      </c>
      <c r="N67" s="32">
        <f t="shared" si="15"/>
        <v>0</v>
      </c>
      <c r="O67" s="47">
        <f t="shared" si="16"/>
        <v>0.39479999999999998</v>
      </c>
      <c r="P67" s="41">
        <f t="shared" si="17"/>
        <v>70</v>
      </c>
      <c r="Q67" s="32">
        <f t="shared" si="18"/>
        <v>58.8</v>
      </c>
      <c r="R67" s="31">
        <f t="shared" si="19"/>
        <v>148.93617021276594</v>
      </c>
      <c r="S67" s="6" t="str">
        <f t="shared" si="20"/>
        <v>DISCOUNT 25% NOW</v>
      </c>
      <c r="T67" s="32">
        <f t="shared" si="21"/>
        <v>4.7375999999999996</v>
      </c>
      <c r="U67" s="32">
        <f t="shared" si="22"/>
        <v>0</v>
      </c>
      <c r="V67" s="4" t="str">
        <f t="shared" si="23"/>
        <v>Before 14th 23:59 PT</v>
      </c>
      <c r="W67" s="41">
        <f t="shared" si="24"/>
        <v>70</v>
      </c>
      <c r="X67" s="5" t="str">
        <f t="shared" si="25"/>
        <v>Discount to accelerate FIFO</v>
      </c>
    </row>
    <row r="68" spans="1:24" x14ac:dyDescent="0.3">
      <c r="A68" s="36" t="s">
        <v>376</v>
      </c>
      <c r="B68" s="16" t="s">
        <v>293</v>
      </c>
      <c r="C68" s="4" t="s">
        <v>184</v>
      </c>
      <c r="D68" s="34">
        <v>5.64E-3</v>
      </c>
      <c r="E68" s="41">
        <v>0</v>
      </c>
      <c r="F68" s="41">
        <v>0</v>
      </c>
      <c r="G68" s="41">
        <v>0</v>
      </c>
      <c r="H68" s="41">
        <v>0</v>
      </c>
      <c r="I68" s="41">
        <v>0</v>
      </c>
      <c r="J68" s="31">
        <f>'03_FBA_Nivel1_Transfer'!H68</f>
        <v>23.69</v>
      </c>
      <c r="K68" s="32">
        <f>'03_FBA_Nivel1_Transfer'!I68</f>
        <v>0</v>
      </c>
      <c r="L68" s="32">
        <f t="shared" si="13"/>
        <v>0</v>
      </c>
      <c r="M68" s="32">
        <f t="shared" si="14"/>
        <v>0</v>
      </c>
      <c r="N68" s="32">
        <f t="shared" si="15"/>
        <v>0</v>
      </c>
      <c r="O68" s="47">
        <f t="shared" si="16"/>
        <v>0</v>
      </c>
      <c r="P68" s="41">
        <f t="shared" si="17"/>
        <v>0</v>
      </c>
      <c r="Q68" s="32">
        <f t="shared" si="18"/>
        <v>0</v>
      </c>
      <c r="R68" s="31" t="str">
        <f t="shared" si="19"/>
        <v/>
      </c>
      <c r="S68" s="6" t="str">
        <f t="shared" si="20"/>
        <v>HEALTHY</v>
      </c>
      <c r="T68" s="32">
        <f t="shared" si="21"/>
        <v>0</v>
      </c>
      <c r="U68" s="32">
        <f t="shared" si="22"/>
        <v>0</v>
      </c>
      <c r="V68" s="4" t="str">
        <f t="shared" si="23"/>
        <v>-</v>
      </c>
      <c r="W68" s="41">
        <f t="shared" si="24"/>
        <v>0</v>
      </c>
      <c r="X68" s="5" t="str">
        <f t="shared" si="25"/>
        <v>Clear</v>
      </c>
    </row>
    <row r="69" spans="1:24" x14ac:dyDescent="0.3">
      <c r="A69" s="36" t="s">
        <v>379</v>
      </c>
      <c r="B69" s="16" t="s">
        <v>293</v>
      </c>
      <c r="C69" s="4" t="s">
        <v>172</v>
      </c>
      <c r="D69" s="34">
        <v>5.64E-3</v>
      </c>
      <c r="E69" s="41">
        <v>193</v>
      </c>
      <c r="F69" s="41">
        <v>91</v>
      </c>
      <c r="G69" s="41">
        <v>18</v>
      </c>
      <c r="H69" s="41">
        <v>0</v>
      </c>
      <c r="I69" s="41">
        <v>0</v>
      </c>
      <c r="J69" s="31">
        <f>'03_FBA_Nivel1_Transfer'!H69</f>
        <v>30.24</v>
      </c>
      <c r="K69" s="32">
        <f>'03_FBA_Nivel1_Transfer'!I69</f>
        <v>0</v>
      </c>
      <c r="L69" s="32">
        <f t="shared" ref="L69:L100" si="26">G69*D69*1</f>
        <v>0.10152</v>
      </c>
      <c r="M69" s="32">
        <f t="shared" ref="M69:M100" si="27">H69*D69*5.45</f>
        <v>0</v>
      </c>
      <c r="N69" s="32">
        <f t="shared" ref="N69:N100" si="28">I69*MAX(D69*6.9,0.3)</f>
        <v>0</v>
      </c>
      <c r="O69" s="47">
        <f t="shared" ref="O69:O100" si="29">SUM(L69:N69)</f>
        <v>0.10152</v>
      </c>
      <c r="P69" s="41">
        <f t="shared" ref="P69:P100" si="30">SUM(G69:I69)</f>
        <v>18</v>
      </c>
      <c r="Q69" s="32">
        <f t="shared" ref="Q69:Q100" si="31">P69*Removal_Fee</f>
        <v>15.12</v>
      </c>
      <c r="R69" s="31">
        <f t="shared" ref="R69:R100" si="32">IF(O69&gt;0,Q69/O69,"")</f>
        <v>148.93617021276594</v>
      </c>
      <c r="S69" s="6" t="str">
        <f t="shared" ref="S69:S100" si="33">IF(AND(P69&gt;0,ISNUMBER(R69),R69&lt;=AIS_Payback),"EXECUTE REMOVAL",IF(O69&gt;0,"DISCOUNT 25% NOW","HEALTHY"))</f>
        <v>DISCOUNT 25% NOW</v>
      </c>
      <c r="T69" s="32">
        <f t="shared" ref="T69:T100" si="34">O69*12</f>
        <v>1.21824</v>
      </c>
      <c r="U69" s="32">
        <f t="shared" ref="U69:U100" si="35">IF(S69="EXECUTE REMOVAL",T69-Q69,0)</f>
        <v>0</v>
      </c>
      <c r="V69" s="4" t="str">
        <f t="shared" ref="V69:V100" si="36">IF(AND(P69&gt;0,O69&gt;0),"Before 14th 23:59 PT","-")</f>
        <v>Before 14th 23:59 PT</v>
      </c>
      <c r="W69" s="41">
        <f t="shared" ref="W69:W100" si="37">SUM(G69:I69)</f>
        <v>18</v>
      </c>
      <c r="X69" s="5" t="str">
        <f t="shared" ref="X69:X100" si="38">IF(P69=0,"Clear",IF(R69&lt;=AIS_Payback,"Remove before cliff","Discount to accelerate FIFO"))</f>
        <v>Discount to accelerate FIFO</v>
      </c>
    </row>
    <row r="70" spans="1:24" x14ac:dyDescent="0.3">
      <c r="A70" s="36" t="s">
        <v>382</v>
      </c>
      <c r="B70" s="16" t="s">
        <v>293</v>
      </c>
      <c r="C70" s="4" t="s">
        <v>179</v>
      </c>
      <c r="D70" s="34">
        <v>5.64E-3</v>
      </c>
      <c r="E70" s="41">
        <v>0</v>
      </c>
      <c r="F70" s="41">
        <v>0</v>
      </c>
      <c r="G70" s="41">
        <v>0</v>
      </c>
      <c r="H70" s="41">
        <v>0</v>
      </c>
      <c r="I70" s="41">
        <v>0</v>
      </c>
      <c r="J70" s="31">
        <f>'03_FBA_Nivel1_Transfer'!H70</f>
        <v>4.25</v>
      </c>
      <c r="K70" s="32">
        <f>'03_FBA_Nivel1_Transfer'!I70</f>
        <v>0</v>
      </c>
      <c r="L70" s="32">
        <f t="shared" si="26"/>
        <v>0</v>
      </c>
      <c r="M70" s="32">
        <f t="shared" si="27"/>
        <v>0</v>
      </c>
      <c r="N70" s="32">
        <f t="shared" si="28"/>
        <v>0</v>
      </c>
      <c r="O70" s="47">
        <f t="shared" si="29"/>
        <v>0</v>
      </c>
      <c r="P70" s="41">
        <f t="shared" si="30"/>
        <v>0</v>
      </c>
      <c r="Q70" s="32">
        <f t="shared" si="31"/>
        <v>0</v>
      </c>
      <c r="R70" s="31" t="str">
        <f t="shared" si="32"/>
        <v/>
      </c>
      <c r="S70" s="6" t="str">
        <f t="shared" si="33"/>
        <v>HEALTHY</v>
      </c>
      <c r="T70" s="32">
        <f t="shared" si="34"/>
        <v>0</v>
      </c>
      <c r="U70" s="32">
        <f t="shared" si="35"/>
        <v>0</v>
      </c>
      <c r="V70" s="4" t="str">
        <f t="shared" si="36"/>
        <v>-</v>
      </c>
      <c r="W70" s="41">
        <f t="shared" si="37"/>
        <v>0</v>
      </c>
      <c r="X70" s="5" t="str">
        <f t="shared" si="38"/>
        <v>Clear</v>
      </c>
    </row>
    <row r="71" spans="1:24" x14ac:dyDescent="0.3">
      <c r="A71" s="36" t="s">
        <v>385</v>
      </c>
      <c r="B71" s="16" t="s">
        <v>293</v>
      </c>
      <c r="C71" s="4" t="s">
        <v>184</v>
      </c>
      <c r="D71" s="34">
        <v>5.64E-3</v>
      </c>
      <c r="E71" s="41">
        <v>12</v>
      </c>
      <c r="F71" s="41">
        <v>6</v>
      </c>
      <c r="G71" s="41">
        <v>3</v>
      </c>
      <c r="H71" s="41">
        <v>0</v>
      </c>
      <c r="I71" s="41">
        <v>0</v>
      </c>
      <c r="J71" s="31">
        <f>'03_FBA_Nivel1_Transfer'!H71</f>
        <v>35.24</v>
      </c>
      <c r="K71" s="32">
        <f>'03_FBA_Nivel1_Transfer'!I71</f>
        <v>0</v>
      </c>
      <c r="L71" s="32">
        <f t="shared" si="26"/>
        <v>1.6920000000000001E-2</v>
      </c>
      <c r="M71" s="32">
        <f t="shared" si="27"/>
        <v>0</v>
      </c>
      <c r="N71" s="32">
        <f t="shared" si="28"/>
        <v>0</v>
      </c>
      <c r="O71" s="47">
        <f t="shared" si="29"/>
        <v>1.6920000000000001E-2</v>
      </c>
      <c r="P71" s="41">
        <f t="shared" si="30"/>
        <v>3</v>
      </c>
      <c r="Q71" s="32">
        <f t="shared" si="31"/>
        <v>2.52</v>
      </c>
      <c r="R71" s="31">
        <f t="shared" si="32"/>
        <v>148.93617021276594</v>
      </c>
      <c r="S71" s="6" t="str">
        <f t="shared" si="33"/>
        <v>DISCOUNT 25% NOW</v>
      </c>
      <c r="T71" s="32">
        <f t="shared" si="34"/>
        <v>0.20304</v>
      </c>
      <c r="U71" s="32">
        <f t="shared" si="35"/>
        <v>0</v>
      </c>
      <c r="V71" s="4" t="str">
        <f t="shared" si="36"/>
        <v>Before 14th 23:59 PT</v>
      </c>
      <c r="W71" s="41">
        <f t="shared" si="37"/>
        <v>3</v>
      </c>
      <c r="X71" s="5" t="str">
        <f t="shared" si="38"/>
        <v>Discount to accelerate FIFO</v>
      </c>
    </row>
    <row r="72" spans="1:24" x14ac:dyDescent="0.3">
      <c r="A72" s="36" t="s">
        <v>388</v>
      </c>
      <c r="B72" s="16" t="s">
        <v>293</v>
      </c>
      <c r="C72" s="4" t="s">
        <v>188</v>
      </c>
      <c r="D72" s="34">
        <v>5.64E-3</v>
      </c>
      <c r="E72" s="41">
        <v>6</v>
      </c>
      <c r="F72" s="41">
        <v>18</v>
      </c>
      <c r="G72" s="41">
        <v>24</v>
      </c>
      <c r="H72" s="41">
        <v>42</v>
      </c>
      <c r="I72" s="41">
        <v>30</v>
      </c>
      <c r="J72" s="31">
        <f>'03_FBA_Nivel1_Transfer'!H72</f>
        <v>230.05</v>
      </c>
      <c r="K72" s="32">
        <f>'03_FBA_Nivel1_Transfer'!I72</f>
        <v>0</v>
      </c>
      <c r="L72" s="32">
        <f t="shared" si="26"/>
        <v>0.13536000000000001</v>
      </c>
      <c r="M72" s="32">
        <f t="shared" si="27"/>
        <v>1.290996</v>
      </c>
      <c r="N72" s="32">
        <f t="shared" si="28"/>
        <v>9</v>
      </c>
      <c r="O72" s="47">
        <f t="shared" si="29"/>
        <v>10.426356</v>
      </c>
      <c r="P72" s="41">
        <f t="shared" si="30"/>
        <v>96</v>
      </c>
      <c r="Q72" s="32">
        <f t="shared" si="31"/>
        <v>80.64</v>
      </c>
      <c r="R72" s="31">
        <f t="shared" si="32"/>
        <v>7.7342457901878658</v>
      </c>
      <c r="S72" s="6" t="str">
        <f t="shared" si="33"/>
        <v>EXECUTE REMOVAL</v>
      </c>
      <c r="T72" s="32">
        <f t="shared" si="34"/>
        <v>125.11627200000001</v>
      </c>
      <c r="U72" s="32">
        <f t="shared" si="35"/>
        <v>44.476272000000009</v>
      </c>
      <c r="V72" s="4" t="str">
        <f t="shared" si="36"/>
        <v>Before 14th 23:59 PT</v>
      </c>
      <c r="W72" s="41">
        <f t="shared" si="37"/>
        <v>96</v>
      </c>
      <c r="X72" s="5" t="str">
        <f t="shared" si="38"/>
        <v>Remove before cliff</v>
      </c>
    </row>
    <row r="73" spans="1:24" x14ac:dyDescent="0.3">
      <c r="A73" s="36" t="s">
        <v>391</v>
      </c>
      <c r="B73" s="16" t="s">
        <v>293</v>
      </c>
      <c r="C73" s="4" t="s">
        <v>179</v>
      </c>
      <c r="D73" s="34">
        <v>5.64E-3</v>
      </c>
      <c r="E73" s="41">
        <v>25</v>
      </c>
      <c r="F73" s="41">
        <v>13</v>
      </c>
      <c r="G73" s="41">
        <v>5</v>
      </c>
      <c r="H73" s="41">
        <v>0</v>
      </c>
      <c r="I73" s="41">
        <v>0</v>
      </c>
      <c r="J73" s="31">
        <f>'03_FBA_Nivel1_Transfer'!H73</f>
        <v>69.52</v>
      </c>
      <c r="K73" s="32">
        <f>'03_FBA_Nivel1_Transfer'!I73</f>
        <v>0</v>
      </c>
      <c r="L73" s="32">
        <f t="shared" si="26"/>
        <v>2.8199999999999999E-2</v>
      </c>
      <c r="M73" s="32">
        <f t="shared" si="27"/>
        <v>0</v>
      </c>
      <c r="N73" s="32">
        <f t="shared" si="28"/>
        <v>0</v>
      </c>
      <c r="O73" s="47">
        <f t="shared" si="29"/>
        <v>2.8199999999999999E-2</v>
      </c>
      <c r="P73" s="41">
        <f t="shared" si="30"/>
        <v>5</v>
      </c>
      <c r="Q73" s="32">
        <f t="shared" si="31"/>
        <v>4.2</v>
      </c>
      <c r="R73" s="31">
        <f t="shared" si="32"/>
        <v>148.93617021276597</v>
      </c>
      <c r="S73" s="6" t="str">
        <f t="shared" si="33"/>
        <v>DISCOUNT 25% NOW</v>
      </c>
      <c r="T73" s="32">
        <f t="shared" si="34"/>
        <v>0.33839999999999998</v>
      </c>
      <c r="U73" s="32">
        <f t="shared" si="35"/>
        <v>0</v>
      </c>
      <c r="V73" s="4" t="str">
        <f t="shared" si="36"/>
        <v>Before 14th 23:59 PT</v>
      </c>
      <c r="W73" s="41">
        <f t="shared" si="37"/>
        <v>5</v>
      </c>
      <c r="X73" s="5" t="str">
        <f t="shared" si="38"/>
        <v>Discount to accelerate FIFO</v>
      </c>
    </row>
    <row r="74" spans="1:24" x14ac:dyDescent="0.3">
      <c r="A74" s="36" t="s">
        <v>394</v>
      </c>
      <c r="B74" s="16" t="s">
        <v>293</v>
      </c>
      <c r="C74" s="4" t="s">
        <v>188</v>
      </c>
      <c r="D74" s="34">
        <v>5.64E-3</v>
      </c>
      <c r="E74" s="41">
        <v>18</v>
      </c>
      <c r="F74" s="41">
        <v>11</v>
      </c>
      <c r="G74" s="41">
        <v>7</v>
      </c>
      <c r="H74" s="41">
        <v>0</v>
      </c>
      <c r="I74" s="41">
        <v>0</v>
      </c>
      <c r="J74" s="31">
        <f>'03_FBA_Nivel1_Transfer'!H74</f>
        <v>125.03</v>
      </c>
      <c r="K74" s="32">
        <f>'03_FBA_Nivel1_Transfer'!I74</f>
        <v>0</v>
      </c>
      <c r="L74" s="32">
        <f t="shared" si="26"/>
        <v>3.9480000000000001E-2</v>
      </c>
      <c r="M74" s="32">
        <f t="shared" si="27"/>
        <v>0</v>
      </c>
      <c r="N74" s="32">
        <f t="shared" si="28"/>
        <v>0</v>
      </c>
      <c r="O74" s="47">
        <f t="shared" si="29"/>
        <v>3.9480000000000001E-2</v>
      </c>
      <c r="P74" s="41">
        <f t="shared" si="30"/>
        <v>7</v>
      </c>
      <c r="Q74" s="32">
        <f t="shared" si="31"/>
        <v>5.88</v>
      </c>
      <c r="R74" s="31">
        <f t="shared" si="32"/>
        <v>148.93617021276594</v>
      </c>
      <c r="S74" s="6" t="str">
        <f t="shared" si="33"/>
        <v>DISCOUNT 25% NOW</v>
      </c>
      <c r="T74" s="32">
        <f t="shared" si="34"/>
        <v>0.47376000000000001</v>
      </c>
      <c r="U74" s="32">
        <f t="shared" si="35"/>
        <v>0</v>
      </c>
      <c r="V74" s="4" t="str">
        <f t="shared" si="36"/>
        <v>Before 14th 23:59 PT</v>
      </c>
      <c r="W74" s="41">
        <f t="shared" si="37"/>
        <v>7</v>
      </c>
      <c r="X74" s="5" t="str">
        <f t="shared" si="38"/>
        <v>Discount to accelerate FIFO</v>
      </c>
    </row>
    <row r="75" spans="1:24" x14ac:dyDescent="0.3">
      <c r="A75" s="36" t="s">
        <v>397</v>
      </c>
      <c r="B75" s="16" t="s">
        <v>293</v>
      </c>
      <c r="C75" s="4" t="s">
        <v>188</v>
      </c>
      <c r="D75" s="34">
        <v>5.64E-3</v>
      </c>
      <c r="E75" s="41">
        <v>0</v>
      </c>
      <c r="F75" s="41">
        <v>0</v>
      </c>
      <c r="G75" s="41">
        <v>0</v>
      </c>
      <c r="H75" s="41">
        <v>0</v>
      </c>
      <c r="I75" s="41">
        <v>0</v>
      </c>
      <c r="J75" s="31">
        <f>'03_FBA_Nivel1_Transfer'!H75</f>
        <v>41.94</v>
      </c>
      <c r="K75" s="32">
        <f>'03_FBA_Nivel1_Transfer'!I75</f>
        <v>0</v>
      </c>
      <c r="L75" s="32">
        <f t="shared" si="26"/>
        <v>0</v>
      </c>
      <c r="M75" s="32">
        <f t="shared" si="27"/>
        <v>0</v>
      </c>
      <c r="N75" s="32">
        <f t="shared" si="28"/>
        <v>0</v>
      </c>
      <c r="O75" s="47">
        <f t="shared" si="29"/>
        <v>0</v>
      </c>
      <c r="P75" s="41">
        <f t="shared" si="30"/>
        <v>0</v>
      </c>
      <c r="Q75" s="32">
        <f t="shared" si="31"/>
        <v>0</v>
      </c>
      <c r="R75" s="31" t="str">
        <f t="shared" si="32"/>
        <v/>
      </c>
      <c r="S75" s="6" t="str">
        <f t="shared" si="33"/>
        <v>HEALTHY</v>
      </c>
      <c r="T75" s="32">
        <f t="shared" si="34"/>
        <v>0</v>
      </c>
      <c r="U75" s="32">
        <f t="shared" si="35"/>
        <v>0</v>
      </c>
      <c r="V75" s="4" t="str">
        <f t="shared" si="36"/>
        <v>-</v>
      </c>
      <c r="W75" s="41">
        <f t="shared" si="37"/>
        <v>0</v>
      </c>
      <c r="X75" s="5" t="str">
        <f t="shared" si="38"/>
        <v>Clear</v>
      </c>
    </row>
    <row r="76" spans="1:24" x14ac:dyDescent="0.3">
      <c r="A76" s="36" t="s">
        <v>400</v>
      </c>
      <c r="B76" s="16" t="s">
        <v>293</v>
      </c>
      <c r="C76" s="4" t="s">
        <v>188</v>
      </c>
      <c r="D76" s="34">
        <v>5.64E-3</v>
      </c>
      <c r="E76" s="41">
        <v>0</v>
      </c>
      <c r="F76" s="41">
        <v>0</v>
      </c>
      <c r="G76" s="41">
        <v>0</v>
      </c>
      <c r="H76" s="41">
        <v>0</v>
      </c>
      <c r="I76" s="41">
        <v>0</v>
      </c>
      <c r="J76" s="31">
        <f>'03_FBA_Nivel1_Transfer'!H76</f>
        <v>0</v>
      </c>
      <c r="K76" s="32">
        <f>'03_FBA_Nivel1_Transfer'!I76</f>
        <v>0</v>
      </c>
      <c r="L76" s="32">
        <f t="shared" si="26"/>
        <v>0</v>
      </c>
      <c r="M76" s="32">
        <f t="shared" si="27"/>
        <v>0</v>
      </c>
      <c r="N76" s="32">
        <f t="shared" si="28"/>
        <v>0</v>
      </c>
      <c r="O76" s="47">
        <f t="shared" si="29"/>
        <v>0</v>
      </c>
      <c r="P76" s="41">
        <f t="shared" si="30"/>
        <v>0</v>
      </c>
      <c r="Q76" s="32">
        <f t="shared" si="31"/>
        <v>0</v>
      </c>
      <c r="R76" s="31" t="str">
        <f t="shared" si="32"/>
        <v/>
      </c>
      <c r="S76" s="6" t="str">
        <f t="shared" si="33"/>
        <v>HEALTHY</v>
      </c>
      <c r="T76" s="32">
        <f t="shared" si="34"/>
        <v>0</v>
      </c>
      <c r="U76" s="32">
        <f t="shared" si="35"/>
        <v>0</v>
      </c>
      <c r="V76" s="4" t="str">
        <f t="shared" si="36"/>
        <v>-</v>
      </c>
      <c r="W76" s="41">
        <f t="shared" si="37"/>
        <v>0</v>
      </c>
      <c r="X76" s="5" t="str">
        <f t="shared" si="38"/>
        <v>Clear</v>
      </c>
    </row>
    <row r="77" spans="1:24" x14ac:dyDescent="0.3">
      <c r="A77" s="36" t="s">
        <v>403</v>
      </c>
      <c r="B77" s="16" t="s">
        <v>404</v>
      </c>
      <c r="C77" s="4" t="s">
        <v>179</v>
      </c>
      <c r="D77" s="34">
        <v>5.64E-3</v>
      </c>
      <c r="E77" s="41">
        <v>26</v>
      </c>
      <c r="F77" s="41">
        <v>13</v>
      </c>
      <c r="G77" s="41">
        <v>5</v>
      </c>
      <c r="H77" s="41">
        <v>0</v>
      </c>
      <c r="I77" s="41">
        <v>0</v>
      </c>
      <c r="J77" s="31">
        <f>'03_FBA_Nivel1_Transfer'!H77</f>
        <v>36.369999999999997</v>
      </c>
      <c r="K77" s="32">
        <f>'03_FBA_Nivel1_Transfer'!I77</f>
        <v>0</v>
      </c>
      <c r="L77" s="32">
        <f t="shared" si="26"/>
        <v>2.8199999999999999E-2</v>
      </c>
      <c r="M77" s="32">
        <f t="shared" si="27"/>
        <v>0</v>
      </c>
      <c r="N77" s="32">
        <f t="shared" si="28"/>
        <v>0</v>
      </c>
      <c r="O77" s="47">
        <f t="shared" si="29"/>
        <v>2.8199999999999999E-2</v>
      </c>
      <c r="P77" s="41">
        <f t="shared" si="30"/>
        <v>5</v>
      </c>
      <c r="Q77" s="32">
        <f t="shared" si="31"/>
        <v>4.2</v>
      </c>
      <c r="R77" s="31">
        <f t="shared" si="32"/>
        <v>148.93617021276597</v>
      </c>
      <c r="S77" s="6" t="str">
        <f t="shared" si="33"/>
        <v>DISCOUNT 25% NOW</v>
      </c>
      <c r="T77" s="32">
        <f t="shared" si="34"/>
        <v>0.33839999999999998</v>
      </c>
      <c r="U77" s="32">
        <f t="shared" si="35"/>
        <v>0</v>
      </c>
      <c r="V77" s="4" t="str">
        <f t="shared" si="36"/>
        <v>Before 14th 23:59 PT</v>
      </c>
      <c r="W77" s="41">
        <f t="shared" si="37"/>
        <v>5</v>
      </c>
      <c r="X77" s="5" t="str">
        <f t="shared" si="38"/>
        <v>Discount to accelerate FIFO</v>
      </c>
    </row>
    <row r="78" spans="1:24" x14ac:dyDescent="0.3">
      <c r="A78" s="36" t="s">
        <v>409</v>
      </c>
      <c r="B78" s="16" t="s">
        <v>404</v>
      </c>
      <c r="C78" s="4" t="s">
        <v>188</v>
      </c>
      <c r="D78" s="34">
        <v>5.64E-3</v>
      </c>
      <c r="E78" s="41">
        <v>14</v>
      </c>
      <c r="F78" s="41">
        <v>8</v>
      </c>
      <c r="G78" s="41">
        <v>5</v>
      </c>
      <c r="H78" s="41">
        <v>0</v>
      </c>
      <c r="I78" s="41">
        <v>0</v>
      </c>
      <c r="J78" s="31">
        <f>'03_FBA_Nivel1_Transfer'!H78</f>
        <v>52.59</v>
      </c>
      <c r="K78" s="32">
        <f>'03_FBA_Nivel1_Transfer'!I78</f>
        <v>0</v>
      </c>
      <c r="L78" s="32">
        <f t="shared" si="26"/>
        <v>2.8199999999999999E-2</v>
      </c>
      <c r="M78" s="32">
        <f t="shared" si="27"/>
        <v>0</v>
      </c>
      <c r="N78" s="32">
        <f t="shared" si="28"/>
        <v>0</v>
      </c>
      <c r="O78" s="47">
        <f t="shared" si="29"/>
        <v>2.8199999999999999E-2</v>
      </c>
      <c r="P78" s="41">
        <f t="shared" si="30"/>
        <v>5</v>
      </c>
      <c r="Q78" s="32">
        <f t="shared" si="31"/>
        <v>4.2</v>
      </c>
      <c r="R78" s="31">
        <f t="shared" si="32"/>
        <v>148.93617021276597</v>
      </c>
      <c r="S78" s="6" t="str">
        <f t="shared" si="33"/>
        <v>DISCOUNT 25% NOW</v>
      </c>
      <c r="T78" s="32">
        <f t="shared" si="34"/>
        <v>0.33839999999999998</v>
      </c>
      <c r="U78" s="32">
        <f t="shared" si="35"/>
        <v>0</v>
      </c>
      <c r="V78" s="4" t="str">
        <f t="shared" si="36"/>
        <v>Before 14th 23:59 PT</v>
      </c>
      <c r="W78" s="41">
        <f t="shared" si="37"/>
        <v>5</v>
      </c>
      <c r="X78" s="5" t="str">
        <f t="shared" si="38"/>
        <v>Discount to accelerate FIFO</v>
      </c>
    </row>
    <row r="79" spans="1:24" x14ac:dyDescent="0.3">
      <c r="A79" s="36" t="s">
        <v>412</v>
      </c>
      <c r="B79" s="16" t="s">
        <v>404</v>
      </c>
      <c r="C79" s="4" t="s">
        <v>188</v>
      </c>
      <c r="D79" s="34">
        <v>5.64E-3</v>
      </c>
      <c r="E79" s="41">
        <v>31</v>
      </c>
      <c r="F79" s="41">
        <v>18</v>
      </c>
      <c r="G79" s="41">
        <v>12</v>
      </c>
      <c r="H79" s="41">
        <v>0</v>
      </c>
      <c r="I79" s="41">
        <v>0</v>
      </c>
      <c r="J79" s="31">
        <f>'03_FBA_Nivel1_Transfer'!H79</f>
        <v>74.66</v>
      </c>
      <c r="K79" s="32">
        <f>'03_FBA_Nivel1_Transfer'!I79</f>
        <v>0</v>
      </c>
      <c r="L79" s="32">
        <f t="shared" si="26"/>
        <v>6.7680000000000004E-2</v>
      </c>
      <c r="M79" s="32">
        <f t="shared" si="27"/>
        <v>0</v>
      </c>
      <c r="N79" s="32">
        <f t="shared" si="28"/>
        <v>0</v>
      </c>
      <c r="O79" s="47">
        <f t="shared" si="29"/>
        <v>6.7680000000000004E-2</v>
      </c>
      <c r="P79" s="41">
        <f t="shared" si="30"/>
        <v>12</v>
      </c>
      <c r="Q79" s="32">
        <f t="shared" si="31"/>
        <v>10.08</v>
      </c>
      <c r="R79" s="31">
        <f t="shared" si="32"/>
        <v>148.93617021276594</v>
      </c>
      <c r="S79" s="6" t="str">
        <f t="shared" si="33"/>
        <v>DISCOUNT 25% NOW</v>
      </c>
      <c r="T79" s="32">
        <f t="shared" si="34"/>
        <v>0.81215999999999999</v>
      </c>
      <c r="U79" s="32">
        <f t="shared" si="35"/>
        <v>0</v>
      </c>
      <c r="V79" s="4" t="str">
        <f t="shared" si="36"/>
        <v>Before 14th 23:59 PT</v>
      </c>
      <c r="W79" s="41">
        <f t="shared" si="37"/>
        <v>12</v>
      </c>
      <c r="X79" s="5" t="str">
        <f t="shared" si="38"/>
        <v>Discount to accelerate FIFO</v>
      </c>
    </row>
    <row r="80" spans="1:24" x14ac:dyDescent="0.3">
      <c r="A80" s="36" t="s">
        <v>415</v>
      </c>
      <c r="B80" s="16" t="s">
        <v>404</v>
      </c>
      <c r="C80" s="4" t="s">
        <v>188</v>
      </c>
      <c r="D80" s="34">
        <v>5.64E-3</v>
      </c>
      <c r="E80" s="41">
        <v>31</v>
      </c>
      <c r="F80" s="41">
        <v>19</v>
      </c>
      <c r="G80" s="41">
        <v>13</v>
      </c>
      <c r="H80" s="41">
        <v>0</v>
      </c>
      <c r="I80" s="41">
        <v>0</v>
      </c>
      <c r="J80" s="31">
        <f>'03_FBA_Nivel1_Transfer'!H80</f>
        <v>60.67</v>
      </c>
      <c r="K80" s="32">
        <f>'03_FBA_Nivel1_Transfer'!I80</f>
        <v>0</v>
      </c>
      <c r="L80" s="32">
        <f t="shared" si="26"/>
        <v>7.3319999999999996E-2</v>
      </c>
      <c r="M80" s="32">
        <f t="shared" si="27"/>
        <v>0</v>
      </c>
      <c r="N80" s="32">
        <f t="shared" si="28"/>
        <v>0</v>
      </c>
      <c r="O80" s="47">
        <f t="shared" si="29"/>
        <v>7.3319999999999996E-2</v>
      </c>
      <c r="P80" s="41">
        <f t="shared" si="30"/>
        <v>13</v>
      </c>
      <c r="Q80" s="32">
        <f t="shared" si="31"/>
        <v>10.92</v>
      </c>
      <c r="R80" s="31">
        <f t="shared" si="32"/>
        <v>148.93617021276597</v>
      </c>
      <c r="S80" s="6" t="str">
        <f t="shared" si="33"/>
        <v>DISCOUNT 25% NOW</v>
      </c>
      <c r="T80" s="32">
        <f t="shared" si="34"/>
        <v>0.87983999999999996</v>
      </c>
      <c r="U80" s="32">
        <f t="shared" si="35"/>
        <v>0</v>
      </c>
      <c r="V80" s="4" t="str">
        <f t="shared" si="36"/>
        <v>Before 14th 23:59 PT</v>
      </c>
      <c r="W80" s="41">
        <f t="shared" si="37"/>
        <v>13</v>
      </c>
      <c r="X80" s="5" t="str">
        <f t="shared" si="38"/>
        <v>Discount to accelerate FIFO</v>
      </c>
    </row>
    <row r="81" spans="1:24" x14ac:dyDescent="0.3">
      <c r="A81" s="36" t="s">
        <v>418</v>
      </c>
      <c r="B81" s="16" t="s">
        <v>404</v>
      </c>
      <c r="C81" s="4" t="s">
        <v>188</v>
      </c>
      <c r="D81" s="34">
        <v>5.64E-3</v>
      </c>
      <c r="E81" s="41">
        <v>36</v>
      </c>
      <c r="F81" s="41">
        <v>22</v>
      </c>
      <c r="G81" s="41">
        <v>14</v>
      </c>
      <c r="H81" s="41">
        <v>0</v>
      </c>
      <c r="I81" s="41">
        <v>0</v>
      </c>
      <c r="J81" s="31">
        <f>'03_FBA_Nivel1_Transfer'!H81</f>
        <v>56.09</v>
      </c>
      <c r="K81" s="32">
        <f>'03_FBA_Nivel1_Transfer'!I81</f>
        <v>0</v>
      </c>
      <c r="L81" s="32">
        <f t="shared" si="26"/>
        <v>7.8960000000000002E-2</v>
      </c>
      <c r="M81" s="32">
        <f t="shared" si="27"/>
        <v>0</v>
      </c>
      <c r="N81" s="32">
        <f t="shared" si="28"/>
        <v>0</v>
      </c>
      <c r="O81" s="47">
        <f t="shared" si="29"/>
        <v>7.8960000000000002E-2</v>
      </c>
      <c r="P81" s="41">
        <f t="shared" si="30"/>
        <v>14</v>
      </c>
      <c r="Q81" s="32">
        <f t="shared" si="31"/>
        <v>11.76</v>
      </c>
      <c r="R81" s="31">
        <f t="shared" si="32"/>
        <v>148.93617021276594</v>
      </c>
      <c r="S81" s="6" t="str">
        <f t="shared" si="33"/>
        <v>DISCOUNT 25% NOW</v>
      </c>
      <c r="T81" s="32">
        <f t="shared" si="34"/>
        <v>0.94752000000000003</v>
      </c>
      <c r="U81" s="32">
        <f t="shared" si="35"/>
        <v>0</v>
      </c>
      <c r="V81" s="4" t="str">
        <f t="shared" si="36"/>
        <v>Before 14th 23:59 PT</v>
      </c>
      <c r="W81" s="41">
        <f t="shared" si="37"/>
        <v>14</v>
      </c>
      <c r="X81" s="5" t="str">
        <f t="shared" si="38"/>
        <v>Discount to accelerate FIFO</v>
      </c>
    </row>
    <row r="82" spans="1:24" x14ac:dyDescent="0.3">
      <c r="A82" s="36" t="s">
        <v>421</v>
      </c>
      <c r="B82" s="16" t="s">
        <v>404</v>
      </c>
      <c r="C82" s="4" t="s">
        <v>188</v>
      </c>
      <c r="D82" s="34">
        <v>5.64E-3</v>
      </c>
      <c r="E82" s="41">
        <v>0</v>
      </c>
      <c r="F82" s="41">
        <v>0</v>
      </c>
      <c r="G82" s="41">
        <v>0</v>
      </c>
      <c r="H82" s="41">
        <v>0</v>
      </c>
      <c r="I82" s="41">
        <v>0</v>
      </c>
      <c r="J82" s="31">
        <f>'03_FBA_Nivel1_Transfer'!H82</f>
        <v>0</v>
      </c>
      <c r="K82" s="32">
        <f>'03_FBA_Nivel1_Transfer'!I82</f>
        <v>0</v>
      </c>
      <c r="L82" s="32">
        <f t="shared" si="26"/>
        <v>0</v>
      </c>
      <c r="M82" s="32">
        <f t="shared" si="27"/>
        <v>0</v>
      </c>
      <c r="N82" s="32">
        <f t="shared" si="28"/>
        <v>0</v>
      </c>
      <c r="O82" s="47">
        <f t="shared" si="29"/>
        <v>0</v>
      </c>
      <c r="P82" s="41">
        <f t="shared" si="30"/>
        <v>0</v>
      </c>
      <c r="Q82" s="32">
        <f t="shared" si="31"/>
        <v>0</v>
      </c>
      <c r="R82" s="31" t="str">
        <f t="shared" si="32"/>
        <v/>
      </c>
      <c r="S82" s="6" t="str">
        <f t="shared" si="33"/>
        <v>HEALTHY</v>
      </c>
      <c r="T82" s="32">
        <f t="shared" si="34"/>
        <v>0</v>
      </c>
      <c r="U82" s="32">
        <f t="shared" si="35"/>
        <v>0</v>
      </c>
      <c r="V82" s="4" t="str">
        <f t="shared" si="36"/>
        <v>-</v>
      </c>
      <c r="W82" s="41">
        <f t="shared" si="37"/>
        <v>0</v>
      </c>
      <c r="X82" s="5" t="str">
        <f t="shared" si="38"/>
        <v>Clear</v>
      </c>
    </row>
    <row r="83" spans="1:24" x14ac:dyDescent="0.3">
      <c r="A83" s="36" t="s">
        <v>424</v>
      </c>
      <c r="B83" s="16" t="s">
        <v>404</v>
      </c>
      <c r="C83" s="4" t="s">
        <v>188</v>
      </c>
      <c r="D83" s="34">
        <v>5.64E-3</v>
      </c>
      <c r="E83" s="41">
        <v>28</v>
      </c>
      <c r="F83" s="41">
        <v>17</v>
      </c>
      <c r="G83" s="41">
        <v>11</v>
      </c>
      <c r="H83" s="41">
        <v>0</v>
      </c>
      <c r="I83" s="41">
        <v>0</v>
      </c>
      <c r="J83" s="31">
        <f>'03_FBA_Nivel1_Transfer'!H83</f>
        <v>113.18</v>
      </c>
      <c r="K83" s="32">
        <f>'03_FBA_Nivel1_Transfer'!I83</f>
        <v>0</v>
      </c>
      <c r="L83" s="32">
        <f t="shared" si="26"/>
        <v>6.2039999999999998E-2</v>
      </c>
      <c r="M83" s="32">
        <f t="shared" si="27"/>
        <v>0</v>
      </c>
      <c r="N83" s="32">
        <f t="shared" si="28"/>
        <v>0</v>
      </c>
      <c r="O83" s="47">
        <f t="shared" si="29"/>
        <v>6.2039999999999998E-2</v>
      </c>
      <c r="P83" s="41">
        <f t="shared" si="30"/>
        <v>11</v>
      </c>
      <c r="Q83" s="32">
        <f t="shared" si="31"/>
        <v>9.24</v>
      </c>
      <c r="R83" s="31">
        <f t="shared" si="32"/>
        <v>148.93617021276597</v>
      </c>
      <c r="S83" s="6" t="str">
        <f t="shared" si="33"/>
        <v>DISCOUNT 25% NOW</v>
      </c>
      <c r="T83" s="32">
        <f t="shared" si="34"/>
        <v>0.74448000000000003</v>
      </c>
      <c r="U83" s="32">
        <f t="shared" si="35"/>
        <v>0</v>
      </c>
      <c r="V83" s="4" t="str">
        <f t="shared" si="36"/>
        <v>Before 14th 23:59 PT</v>
      </c>
      <c r="W83" s="41">
        <f t="shared" si="37"/>
        <v>11</v>
      </c>
      <c r="X83" s="5" t="str">
        <f t="shared" si="38"/>
        <v>Discount to accelerate FIFO</v>
      </c>
    </row>
    <row r="84" spans="1:24" x14ac:dyDescent="0.3">
      <c r="A84" s="36" t="s">
        <v>427</v>
      </c>
      <c r="B84" s="16" t="s">
        <v>404</v>
      </c>
      <c r="C84" s="4" t="s">
        <v>188</v>
      </c>
      <c r="D84" s="34">
        <v>5.64E-3</v>
      </c>
      <c r="E84" s="41">
        <v>0</v>
      </c>
      <c r="F84" s="41">
        <v>0</v>
      </c>
      <c r="G84" s="41">
        <v>0</v>
      </c>
      <c r="H84" s="41">
        <v>0</v>
      </c>
      <c r="I84" s="41">
        <v>0</v>
      </c>
      <c r="J84" s="31">
        <f>'03_FBA_Nivel1_Transfer'!H84</f>
        <v>18.18</v>
      </c>
      <c r="K84" s="32">
        <f>'03_FBA_Nivel1_Transfer'!I84</f>
        <v>0</v>
      </c>
      <c r="L84" s="32">
        <f t="shared" si="26"/>
        <v>0</v>
      </c>
      <c r="M84" s="32">
        <f t="shared" si="27"/>
        <v>0</v>
      </c>
      <c r="N84" s="32">
        <f t="shared" si="28"/>
        <v>0</v>
      </c>
      <c r="O84" s="47">
        <f t="shared" si="29"/>
        <v>0</v>
      </c>
      <c r="P84" s="41">
        <f t="shared" si="30"/>
        <v>0</v>
      </c>
      <c r="Q84" s="32">
        <f t="shared" si="31"/>
        <v>0</v>
      </c>
      <c r="R84" s="31" t="str">
        <f t="shared" si="32"/>
        <v/>
      </c>
      <c r="S84" s="6" t="str">
        <f t="shared" si="33"/>
        <v>HEALTHY</v>
      </c>
      <c r="T84" s="32">
        <f t="shared" si="34"/>
        <v>0</v>
      </c>
      <c r="U84" s="32">
        <f t="shared" si="35"/>
        <v>0</v>
      </c>
      <c r="V84" s="4" t="str">
        <f t="shared" si="36"/>
        <v>-</v>
      </c>
      <c r="W84" s="41">
        <f t="shared" si="37"/>
        <v>0</v>
      </c>
      <c r="X84" s="5" t="str">
        <f t="shared" si="38"/>
        <v>Clear</v>
      </c>
    </row>
    <row r="85" spans="1:24" x14ac:dyDescent="0.3">
      <c r="A85" s="36" t="s">
        <v>430</v>
      </c>
      <c r="B85" s="16" t="s">
        <v>404</v>
      </c>
      <c r="C85" s="4" t="s">
        <v>188</v>
      </c>
      <c r="D85" s="34">
        <v>5.64E-3</v>
      </c>
      <c r="E85" s="41">
        <v>0</v>
      </c>
      <c r="F85" s="41">
        <v>0</v>
      </c>
      <c r="G85" s="41">
        <v>0</v>
      </c>
      <c r="H85" s="41">
        <v>0</v>
      </c>
      <c r="I85" s="41">
        <v>0</v>
      </c>
      <c r="J85" s="31">
        <f>'03_FBA_Nivel1_Transfer'!H85</f>
        <v>0</v>
      </c>
      <c r="K85" s="32">
        <f>'03_FBA_Nivel1_Transfer'!I85</f>
        <v>0</v>
      </c>
      <c r="L85" s="32">
        <f t="shared" si="26"/>
        <v>0</v>
      </c>
      <c r="M85" s="32">
        <f t="shared" si="27"/>
        <v>0</v>
      </c>
      <c r="N85" s="32">
        <f t="shared" si="28"/>
        <v>0</v>
      </c>
      <c r="O85" s="47">
        <f t="shared" si="29"/>
        <v>0</v>
      </c>
      <c r="P85" s="41">
        <f t="shared" si="30"/>
        <v>0</v>
      </c>
      <c r="Q85" s="32">
        <f t="shared" si="31"/>
        <v>0</v>
      </c>
      <c r="R85" s="31" t="str">
        <f t="shared" si="32"/>
        <v/>
      </c>
      <c r="S85" s="6" t="str">
        <f t="shared" si="33"/>
        <v>HEALTHY</v>
      </c>
      <c r="T85" s="32">
        <f t="shared" si="34"/>
        <v>0</v>
      </c>
      <c r="U85" s="32">
        <f t="shared" si="35"/>
        <v>0</v>
      </c>
      <c r="V85" s="4" t="str">
        <f t="shared" si="36"/>
        <v>-</v>
      </c>
      <c r="W85" s="41">
        <f t="shared" si="37"/>
        <v>0</v>
      </c>
      <c r="X85" s="5" t="str">
        <f t="shared" si="38"/>
        <v>Clear</v>
      </c>
    </row>
    <row r="86" spans="1:24" x14ac:dyDescent="0.3">
      <c r="A86" s="36" t="s">
        <v>433</v>
      </c>
      <c r="B86" s="16" t="s">
        <v>404</v>
      </c>
      <c r="C86" s="4" t="s">
        <v>188</v>
      </c>
      <c r="D86" s="34">
        <v>5.64E-3</v>
      </c>
      <c r="E86" s="41">
        <v>0</v>
      </c>
      <c r="F86" s="41">
        <v>0</v>
      </c>
      <c r="G86" s="41">
        <v>0</v>
      </c>
      <c r="H86" s="41">
        <v>0</v>
      </c>
      <c r="I86" s="41">
        <v>0</v>
      </c>
      <c r="J86" s="31">
        <f>'03_FBA_Nivel1_Transfer'!H86</f>
        <v>0</v>
      </c>
      <c r="K86" s="32">
        <f>'03_FBA_Nivel1_Transfer'!I86</f>
        <v>0</v>
      </c>
      <c r="L86" s="32">
        <f t="shared" si="26"/>
        <v>0</v>
      </c>
      <c r="M86" s="32">
        <f t="shared" si="27"/>
        <v>0</v>
      </c>
      <c r="N86" s="32">
        <f t="shared" si="28"/>
        <v>0</v>
      </c>
      <c r="O86" s="47">
        <f t="shared" si="29"/>
        <v>0</v>
      </c>
      <c r="P86" s="41">
        <f t="shared" si="30"/>
        <v>0</v>
      </c>
      <c r="Q86" s="32">
        <f t="shared" si="31"/>
        <v>0</v>
      </c>
      <c r="R86" s="31" t="str">
        <f t="shared" si="32"/>
        <v/>
      </c>
      <c r="S86" s="6" t="str">
        <f t="shared" si="33"/>
        <v>HEALTHY</v>
      </c>
      <c r="T86" s="32">
        <f t="shared" si="34"/>
        <v>0</v>
      </c>
      <c r="U86" s="32">
        <f t="shared" si="35"/>
        <v>0</v>
      </c>
      <c r="V86" s="4" t="str">
        <f t="shared" si="36"/>
        <v>-</v>
      </c>
      <c r="W86" s="41">
        <f t="shared" si="37"/>
        <v>0</v>
      </c>
      <c r="X86" s="5" t="str">
        <f t="shared" si="38"/>
        <v>Clear</v>
      </c>
    </row>
    <row r="87" spans="1:24" x14ac:dyDescent="0.3">
      <c r="A87" s="36" t="s">
        <v>436</v>
      </c>
      <c r="B87" s="16" t="s">
        <v>404</v>
      </c>
      <c r="C87" s="4" t="s">
        <v>188</v>
      </c>
      <c r="D87" s="34">
        <v>5.64E-3</v>
      </c>
      <c r="E87" s="41">
        <v>18</v>
      </c>
      <c r="F87" s="41">
        <v>10</v>
      </c>
      <c r="G87" s="41">
        <v>7</v>
      </c>
      <c r="H87" s="41">
        <v>0</v>
      </c>
      <c r="I87" s="41">
        <v>0</v>
      </c>
      <c r="J87" s="31">
        <f>'03_FBA_Nivel1_Transfer'!H87</f>
        <v>189.5</v>
      </c>
      <c r="K87" s="32">
        <f>'03_FBA_Nivel1_Transfer'!I87</f>
        <v>0</v>
      </c>
      <c r="L87" s="32">
        <f t="shared" si="26"/>
        <v>3.9480000000000001E-2</v>
      </c>
      <c r="M87" s="32">
        <f t="shared" si="27"/>
        <v>0</v>
      </c>
      <c r="N87" s="32">
        <f t="shared" si="28"/>
        <v>0</v>
      </c>
      <c r="O87" s="47">
        <f t="shared" si="29"/>
        <v>3.9480000000000001E-2</v>
      </c>
      <c r="P87" s="41">
        <f t="shared" si="30"/>
        <v>7</v>
      </c>
      <c r="Q87" s="32">
        <f t="shared" si="31"/>
        <v>5.88</v>
      </c>
      <c r="R87" s="31">
        <f t="shared" si="32"/>
        <v>148.93617021276594</v>
      </c>
      <c r="S87" s="6" t="str">
        <f t="shared" si="33"/>
        <v>DISCOUNT 25% NOW</v>
      </c>
      <c r="T87" s="32">
        <f t="shared" si="34"/>
        <v>0.47376000000000001</v>
      </c>
      <c r="U87" s="32">
        <f t="shared" si="35"/>
        <v>0</v>
      </c>
      <c r="V87" s="4" t="str">
        <f t="shared" si="36"/>
        <v>Before 14th 23:59 PT</v>
      </c>
      <c r="W87" s="41">
        <f t="shared" si="37"/>
        <v>7</v>
      </c>
      <c r="X87" s="5" t="str">
        <f t="shared" si="38"/>
        <v>Discount to accelerate FIFO</v>
      </c>
    </row>
    <row r="88" spans="1:24" x14ac:dyDescent="0.3">
      <c r="A88" s="36" t="s">
        <v>439</v>
      </c>
      <c r="B88" s="16" t="s">
        <v>404</v>
      </c>
      <c r="C88" s="4" t="s">
        <v>188</v>
      </c>
      <c r="D88" s="34">
        <v>5.64E-3</v>
      </c>
      <c r="E88" s="41">
        <v>0</v>
      </c>
      <c r="F88" s="41">
        <v>0</v>
      </c>
      <c r="G88" s="41">
        <v>0</v>
      </c>
      <c r="H88" s="41">
        <v>0</v>
      </c>
      <c r="I88" s="41">
        <v>0</v>
      </c>
      <c r="J88" s="31">
        <f>'03_FBA_Nivel1_Transfer'!H88</f>
        <v>0</v>
      </c>
      <c r="K88" s="32">
        <f>'03_FBA_Nivel1_Transfer'!I88</f>
        <v>0</v>
      </c>
      <c r="L88" s="32">
        <f t="shared" si="26"/>
        <v>0</v>
      </c>
      <c r="M88" s="32">
        <f t="shared" si="27"/>
        <v>0</v>
      </c>
      <c r="N88" s="32">
        <f t="shared" si="28"/>
        <v>0</v>
      </c>
      <c r="O88" s="47">
        <f t="shared" si="29"/>
        <v>0</v>
      </c>
      <c r="P88" s="41">
        <f t="shared" si="30"/>
        <v>0</v>
      </c>
      <c r="Q88" s="32">
        <f t="shared" si="31"/>
        <v>0</v>
      </c>
      <c r="R88" s="31" t="str">
        <f t="shared" si="32"/>
        <v/>
      </c>
      <c r="S88" s="6" t="str">
        <f t="shared" si="33"/>
        <v>HEALTHY</v>
      </c>
      <c r="T88" s="32">
        <f t="shared" si="34"/>
        <v>0</v>
      </c>
      <c r="U88" s="32">
        <f t="shared" si="35"/>
        <v>0</v>
      </c>
      <c r="V88" s="4" t="str">
        <f t="shared" si="36"/>
        <v>-</v>
      </c>
      <c r="W88" s="41">
        <f t="shared" si="37"/>
        <v>0</v>
      </c>
      <c r="X88" s="5" t="str">
        <f t="shared" si="38"/>
        <v>Clear</v>
      </c>
    </row>
    <row r="89" spans="1:24" x14ac:dyDescent="0.3">
      <c r="A89" s="36" t="s">
        <v>442</v>
      </c>
      <c r="B89" s="16" t="s">
        <v>404</v>
      </c>
      <c r="C89" s="4" t="s">
        <v>221</v>
      </c>
      <c r="D89" s="34">
        <v>5.64E-3</v>
      </c>
      <c r="E89" s="41">
        <v>33</v>
      </c>
      <c r="F89" s="41">
        <v>16</v>
      </c>
      <c r="G89" s="41">
        <v>3</v>
      </c>
      <c r="H89" s="41">
        <v>0</v>
      </c>
      <c r="I89" s="41">
        <v>0</v>
      </c>
      <c r="J89" s="31">
        <f>'03_FBA_Nivel1_Transfer'!H89</f>
        <v>26.23</v>
      </c>
      <c r="K89" s="32">
        <f>'03_FBA_Nivel1_Transfer'!I89</f>
        <v>0.32</v>
      </c>
      <c r="L89" s="32">
        <f t="shared" si="26"/>
        <v>1.6920000000000001E-2</v>
      </c>
      <c r="M89" s="32">
        <f t="shared" si="27"/>
        <v>0</v>
      </c>
      <c r="N89" s="32">
        <f t="shared" si="28"/>
        <v>0</v>
      </c>
      <c r="O89" s="47">
        <f t="shared" si="29"/>
        <v>1.6920000000000001E-2</v>
      </c>
      <c r="P89" s="41">
        <f t="shared" si="30"/>
        <v>3</v>
      </c>
      <c r="Q89" s="32">
        <f t="shared" si="31"/>
        <v>2.52</v>
      </c>
      <c r="R89" s="31">
        <f t="shared" si="32"/>
        <v>148.93617021276594</v>
      </c>
      <c r="S89" s="6" t="str">
        <f t="shared" si="33"/>
        <v>DISCOUNT 25% NOW</v>
      </c>
      <c r="T89" s="32">
        <f t="shared" si="34"/>
        <v>0.20304</v>
      </c>
      <c r="U89" s="32">
        <f t="shared" si="35"/>
        <v>0</v>
      </c>
      <c r="V89" s="4" t="str">
        <f t="shared" si="36"/>
        <v>Before 14th 23:59 PT</v>
      </c>
      <c r="W89" s="41">
        <f t="shared" si="37"/>
        <v>3</v>
      </c>
      <c r="X89" s="5" t="str">
        <f t="shared" si="38"/>
        <v>Discount to accelerate FIFO</v>
      </c>
    </row>
    <row r="90" spans="1:24" x14ac:dyDescent="0.3">
      <c r="A90" s="36" t="s">
        <v>445</v>
      </c>
      <c r="B90" s="16" t="s">
        <v>404</v>
      </c>
      <c r="C90" s="4" t="s">
        <v>172</v>
      </c>
      <c r="D90" s="34">
        <v>5.64E-3</v>
      </c>
      <c r="E90" s="41">
        <v>362</v>
      </c>
      <c r="F90" s="41">
        <v>169</v>
      </c>
      <c r="G90" s="41">
        <v>34</v>
      </c>
      <c r="H90" s="41">
        <v>0</v>
      </c>
      <c r="I90" s="41">
        <v>0</v>
      </c>
      <c r="J90" s="31">
        <f>'03_FBA_Nivel1_Transfer'!H90</f>
        <v>45.29</v>
      </c>
      <c r="K90" s="32">
        <f>'03_FBA_Nivel1_Transfer'!I90</f>
        <v>0</v>
      </c>
      <c r="L90" s="32">
        <f t="shared" si="26"/>
        <v>0.19176000000000001</v>
      </c>
      <c r="M90" s="32">
        <f t="shared" si="27"/>
        <v>0</v>
      </c>
      <c r="N90" s="32">
        <f t="shared" si="28"/>
        <v>0</v>
      </c>
      <c r="O90" s="47">
        <f t="shared" si="29"/>
        <v>0.19176000000000001</v>
      </c>
      <c r="P90" s="41">
        <f t="shared" si="30"/>
        <v>34</v>
      </c>
      <c r="Q90" s="32">
        <f t="shared" si="31"/>
        <v>28.56</v>
      </c>
      <c r="R90" s="31">
        <f t="shared" si="32"/>
        <v>148.93617021276594</v>
      </c>
      <c r="S90" s="6" t="str">
        <f t="shared" si="33"/>
        <v>DISCOUNT 25% NOW</v>
      </c>
      <c r="T90" s="32">
        <f t="shared" si="34"/>
        <v>2.3011200000000001</v>
      </c>
      <c r="U90" s="32">
        <f t="shared" si="35"/>
        <v>0</v>
      </c>
      <c r="V90" s="4" t="str">
        <f t="shared" si="36"/>
        <v>Before 14th 23:59 PT</v>
      </c>
      <c r="W90" s="41">
        <f t="shared" si="37"/>
        <v>34</v>
      </c>
      <c r="X90" s="5" t="str">
        <f t="shared" si="38"/>
        <v>Discount to accelerate FIFO</v>
      </c>
    </row>
    <row r="91" spans="1:24" x14ac:dyDescent="0.3">
      <c r="A91" s="36" t="s">
        <v>448</v>
      </c>
      <c r="B91" s="16" t="s">
        <v>404</v>
      </c>
      <c r="C91" s="4" t="s">
        <v>221</v>
      </c>
      <c r="D91" s="34">
        <v>5.64E-3</v>
      </c>
      <c r="E91" s="41">
        <v>297</v>
      </c>
      <c r="F91" s="41">
        <v>139</v>
      </c>
      <c r="G91" s="41">
        <v>28</v>
      </c>
      <c r="H91" s="41">
        <v>0</v>
      </c>
      <c r="I91" s="41">
        <v>0</v>
      </c>
      <c r="J91" s="31">
        <f>'03_FBA_Nivel1_Transfer'!H91</f>
        <v>23.79</v>
      </c>
      <c r="K91" s="32">
        <f>'03_FBA_Nivel1_Transfer'!I91</f>
        <v>0.32</v>
      </c>
      <c r="L91" s="32">
        <f t="shared" si="26"/>
        <v>0.15792</v>
      </c>
      <c r="M91" s="32">
        <f t="shared" si="27"/>
        <v>0</v>
      </c>
      <c r="N91" s="32">
        <f t="shared" si="28"/>
        <v>0</v>
      </c>
      <c r="O91" s="47">
        <f t="shared" si="29"/>
        <v>0.15792</v>
      </c>
      <c r="P91" s="41">
        <f t="shared" si="30"/>
        <v>28</v>
      </c>
      <c r="Q91" s="32">
        <f t="shared" si="31"/>
        <v>23.52</v>
      </c>
      <c r="R91" s="31">
        <f t="shared" si="32"/>
        <v>148.93617021276594</v>
      </c>
      <c r="S91" s="6" t="str">
        <f t="shared" si="33"/>
        <v>DISCOUNT 25% NOW</v>
      </c>
      <c r="T91" s="32">
        <f t="shared" si="34"/>
        <v>1.8950400000000001</v>
      </c>
      <c r="U91" s="32">
        <f t="shared" si="35"/>
        <v>0</v>
      </c>
      <c r="V91" s="4" t="str">
        <f t="shared" si="36"/>
        <v>Before 14th 23:59 PT</v>
      </c>
      <c r="W91" s="41">
        <f t="shared" si="37"/>
        <v>28</v>
      </c>
      <c r="X91" s="5" t="str">
        <f t="shared" si="38"/>
        <v>Discount to accelerate FIFO</v>
      </c>
    </row>
    <row r="92" spans="1:24" x14ac:dyDescent="0.3">
      <c r="A92" s="36" t="s">
        <v>451</v>
      </c>
      <c r="B92" s="16" t="s">
        <v>404</v>
      </c>
      <c r="C92" s="4" t="s">
        <v>184</v>
      </c>
      <c r="D92" s="34">
        <v>5.64E-3</v>
      </c>
      <c r="E92" s="41">
        <v>61</v>
      </c>
      <c r="F92" s="41">
        <v>32</v>
      </c>
      <c r="G92" s="41">
        <v>13</v>
      </c>
      <c r="H92" s="41">
        <v>0</v>
      </c>
      <c r="I92" s="41">
        <v>0</v>
      </c>
      <c r="J92" s="31">
        <f>'03_FBA_Nivel1_Transfer'!H92</f>
        <v>46.6</v>
      </c>
      <c r="K92" s="32">
        <f>'03_FBA_Nivel1_Transfer'!I92</f>
        <v>0</v>
      </c>
      <c r="L92" s="32">
        <f t="shared" si="26"/>
        <v>7.3319999999999996E-2</v>
      </c>
      <c r="M92" s="32">
        <f t="shared" si="27"/>
        <v>0</v>
      </c>
      <c r="N92" s="32">
        <f t="shared" si="28"/>
        <v>0</v>
      </c>
      <c r="O92" s="47">
        <f t="shared" si="29"/>
        <v>7.3319999999999996E-2</v>
      </c>
      <c r="P92" s="41">
        <f t="shared" si="30"/>
        <v>13</v>
      </c>
      <c r="Q92" s="32">
        <f t="shared" si="31"/>
        <v>10.92</v>
      </c>
      <c r="R92" s="31">
        <f t="shared" si="32"/>
        <v>148.93617021276597</v>
      </c>
      <c r="S92" s="6" t="str">
        <f t="shared" si="33"/>
        <v>DISCOUNT 25% NOW</v>
      </c>
      <c r="T92" s="32">
        <f t="shared" si="34"/>
        <v>0.87983999999999996</v>
      </c>
      <c r="U92" s="32">
        <f t="shared" si="35"/>
        <v>0</v>
      </c>
      <c r="V92" s="4" t="str">
        <f t="shared" si="36"/>
        <v>Before 14th 23:59 PT</v>
      </c>
      <c r="W92" s="41">
        <f t="shared" si="37"/>
        <v>13</v>
      </c>
      <c r="X92" s="5" t="str">
        <f t="shared" si="38"/>
        <v>Discount to accelerate FIFO</v>
      </c>
    </row>
    <row r="93" spans="1:24" x14ac:dyDescent="0.3">
      <c r="A93" s="36" t="s">
        <v>454</v>
      </c>
      <c r="B93" s="16" t="s">
        <v>404</v>
      </c>
      <c r="C93" s="4" t="s">
        <v>184</v>
      </c>
      <c r="D93" s="34">
        <v>5.64E-3</v>
      </c>
      <c r="E93" s="41">
        <v>39</v>
      </c>
      <c r="F93" s="41">
        <v>20</v>
      </c>
      <c r="G93" s="41">
        <v>8</v>
      </c>
      <c r="H93" s="41">
        <v>0</v>
      </c>
      <c r="I93" s="41">
        <v>0</v>
      </c>
      <c r="J93" s="31">
        <f>'03_FBA_Nivel1_Transfer'!H93</f>
        <v>35.08</v>
      </c>
      <c r="K93" s="32">
        <f>'03_FBA_Nivel1_Transfer'!I93</f>
        <v>0</v>
      </c>
      <c r="L93" s="32">
        <f t="shared" si="26"/>
        <v>4.512E-2</v>
      </c>
      <c r="M93" s="32">
        <f t="shared" si="27"/>
        <v>0</v>
      </c>
      <c r="N93" s="32">
        <f t="shared" si="28"/>
        <v>0</v>
      </c>
      <c r="O93" s="47">
        <f t="shared" si="29"/>
        <v>4.512E-2</v>
      </c>
      <c r="P93" s="41">
        <f t="shared" si="30"/>
        <v>8</v>
      </c>
      <c r="Q93" s="32">
        <f t="shared" si="31"/>
        <v>6.72</v>
      </c>
      <c r="R93" s="31">
        <f t="shared" si="32"/>
        <v>148.93617021276594</v>
      </c>
      <c r="S93" s="6" t="str">
        <f t="shared" si="33"/>
        <v>DISCOUNT 25% NOW</v>
      </c>
      <c r="T93" s="32">
        <f t="shared" si="34"/>
        <v>0.54144000000000003</v>
      </c>
      <c r="U93" s="32">
        <f t="shared" si="35"/>
        <v>0</v>
      </c>
      <c r="V93" s="4" t="str">
        <f t="shared" si="36"/>
        <v>Before 14th 23:59 PT</v>
      </c>
      <c r="W93" s="41">
        <f t="shared" si="37"/>
        <v>8</v>
      </c>
      <c r="X93" s="5" t="str">
        <f t="shared" si="38"/>
        <v>Discount to accelerate FIFO</v>
      </c>
    </row>
    <row r="94" spans="1:24" x14ac:dyDescent="0.3">
      <c r="A94" s="36" t="s">
        <v>457</v>
      </c>
      <c r="B94" s="16" t="s">
        <v>404</v>
      </c>
      <c r="C94" s="4" t="s">
        <v>188</v>
      </c>
      <c r="D94" s="34">
        <v>5.64E-3</v>
      </c>
      <c r="E94" s="41">
        <v>23</v>
      </c>
      <c r="F94" s="41">
        <v>13</v>
      </c>
      <c r="G94" s="41">
        <v>9</v>
      </c>
      <c r="H94" s="41">
        <v>0</v>
      </c>
      <c r="I94" s="41">
        <v>0</v>
      </c>
      <c r="J94" s="31">
        <f>'03_FBA_Nivel1_Transfer'!H94</f>
        <v>48.42</v>
      </c>
      <c r="K94" s="32">
        <f>'03_FBA_Nivel1_Transfer'!I94</f>
        <v>0</v>
      </c>
      <c r="L94" s="32">
        <f t="shared" si="26"/>
        <v>5.076E-2</v>
      </c>
      <c r="M94" s="32">
        <f t="shared" si="27"/>
        <v>0</v>
      </c>
      <c r="N94" s="32">
        <f t="shared" si="28"/>
        <v>0</v>
      </c>
      <c r="O94" s="47">
        <f t="shared" si="29"/>
        <v>5.076E-2</v>
      </c>
      <c r="P94" s="41">
        <f t="shared" si="30"/>
        <v>9</v>
      </c>
      <c r="Q94" s="32">
        <f t="shared" si="31"/>
        <v>7.56</v>
      </c>
      <c r="R94" s="31">
        <f t="shared" si="32"/>
        <v>148.93617021276594</v>
      </c>
      <c r="S94" s="6" t="str">
        <f t="shared" si="33"/>
        <v>DISCOUNT 25% NOW</v>
      </c>
      <c r="T94" s="32">
        <f t="shared" si="34"/>
        <v>0.60911999999999999</v>
      </c>
      <c r="U94" s="32">
        <f t="shared" si="35"/>
        <v>0</v>
      </c>
      <c r="V94" s="4" t="str">
        <f t="shared" si="36"/>
        <v>Before 14th 23:59 PT</v>
      </c>
      <c r="W94" s="41">
        <f t="shared" si="37"/>
        <v>9</v>
      </c>
      <c r="X94" s="5" t="str">
        <f t="shared" si="38"/>
        <v>Discount to accelerate FIFO</v>
      </c>
    </row>
    <row r="95" spans="1:24" x14ac:dyDescent="0.3">
      <c r="A95" s="36" t="s">
        <v>460</v>
      </c>
      <c r="B95" s="16" t="s">
        <v>404</v>
      </c>
      <c r="C95" s="4" t="s">
        <v>179</v>
      </c>
      <c r="D95" s="34">
        <v>5.64E-3</v>
      </c>
      <c r="E95" s="41">
        <v>99</v>
      </c>
      <c r="F95" s="41">
        <v>51</v>
      </c>
      <c r="G95" s="41">
        <v>21</v>
      </c>
      <c r="H95" s="41">
        <v>0</v>
      </c>
      <c r="I95" s="41">
        <v>0</v>
      </c>
      <c r="J95" s="31">
        <f>'03_FBA_Nivel1_Transfer'!H95</f>
        <v>45.2</v>
      </c>
      <c r="K95" s="32">
        <f>'03_FBA_Nivel1_Transfer'!I95</f>
        <v>0</v>
      </c>
      <c r="L95" s="32">
        <f t="shared" si="26"/>
        <v>0.11844</v>
      </c>
      <c r="M95" s="32">
        <f t="shared" si="27"/>
        <v>0</v>
      </c>
      <c r="N95" s="32">
        <f t="shared" si="28"/>
        <v>0</v>
      </c>
      <c r="O95" s="47">
        <f t="shared" si="29"/>
        <v>0.11844</v>
      </c>
      <c r="P95" s="41">
        <f t="shared" si="30"/>
        <v>21</v>
      </c>
      <c r="Q95" s="32">
        <f t="shared" si="31"/>
        <v>17.64</v>
      </c>
      <c r="R95" s="31">
        <f t="shared" si="32"/>
        <v>148.93617021276594</v>
      </c>
      <c r="S95" s="6" t="str">
        <f t="shared" si="33"/>
        <v>DISCOUNT 25% NOW</v>
      </c>
      <c r="T95" s="32">
        <f t="shared" si="34"/>
        <v>1.4212800000000001</v>
      </c>
      <c r="U95" s="32">
        <f t="shared" si="35"/>
        <v>0</v>
      </c>
      <c r="V95" s="4" t="str">
        <f t="shared" si="36"/>
        <v>Before 14th 23:59 PT</v>
      </c>
      <c r="W95" s="41">
        <f t="shared" si="37"/>
        <v>21</v>
      </c>
      <c r="X95" s="5" t="str">
        <f t="shared" si="38"/>
        <v>Discount to accelerate FIFO</v>
      </c>
    </row>
    <row r="96" spans="1:24" x14ac:dyDescent="0.3">
      <c r="A96" s="36" t="s">
        <v>463</v>
      </c>
      <c r="B96" s="16" t="s">
        <v>404</v>
      </c>
      <c r="C96" s="4" t="s">
        <v>188</v>
      </c>
      <c r="D96" s="34">
        <v>5.64E-3</v>
      </c>
      <c r="E96" s="41">
        <v>33</v>
      </c>
      <c r="F96" s="41">
        <v>19</v>
      </c>
      <c r="G96" s="41">
        <v>13</v>
      </c>
      <c r="H96" s="41">
        <v>0</v>
      </c>
      <c r="I96" s="41">
        <v>0</v>
      </c>
      <c r="J96" s="31">
        <f>'03_FBA_Nivel1_Transfer'!H96</f>
        <v>60.17</v>
      </c>
      <c r="K96" s="32">
        <f>'03_FBA_Nivel1_Transfer'!I96</f>
        <v>0</v>
      </c>
      <c r="L96" s="32">
        <f t="shared" si="26"/>
        <v>7.3319999999999996E-2</v>
      </c>
      <c r="M96" s="32">
        <f t="shared" si="27"/>
        <v>0</v>
      </c>
      <c r="N96" s="32">
        <f t="shared" si="28"/>
        <v>0</v>
      </c>
      <c r="O96" s="47">
        <f t="shared" si="29"/>
        <v>7.3319999999999996E-2</v>
      </c>
      <c r="P96" s="41">
        <f t="shared" si="30"/>
        <v>13</v>
      </c>
      <c r="Q96" s="32">
        <f t="shared" si="31"/>
        <v>10.92</v>
      </c>
      <c r="R96" s="31">
        <f t="shared" si="32"/>
        <v>148.93617021276597</v>
      </c>
      <c r="S96" s="6" t="str">
        <f t="shared" si="33"/>
        <v>DISCOUNT 25% NOW</v>
      </c>
      <c r="T96" s="32">
        <f t="shared" si="34"/>
        <v>0.87983999999999996</v>
      </c>
      <c r="U96" s="32">
        <f t="shared" si="35"/>
        <v>0</v>
      </c>
      <c r="V96" s="4" t="str">
        <f t="shared" si="36"/>
        <v>Before 14th 23:59 PT</v>
      </c>
      <c r="W96" s="41">
        <f t="shared" si="37"/>
        <v>13</v>
      </c>
      <c r="X96" s="5" t="str">
        <f t="shared" si="38"/>
        <v>Discount to accelerate FIFO</v>
      </c>
    </row>
    <row r="97" spans="1:24" x14ac:dyDescent="0.3">
      <c r="A97" s="36" t="s">
        <v>466</v>
      </c>
      <c r="B97" s="16" t="s">
        <v>404</v>
      </c>
      <c r="C97" s="4" t="s">
        <v>179</v>
      </c>
      <c r="D97" s="34">
        <v>5.64E-3</v>
      </c>
      <c r="E97" s="41">
        <v>31</v>
      </c>
      <c r="F97" s="41">
        <v>16</v>
      </c>
      <c r="G97" s="41">
        <v>6</v>
      </c>
      <c r="H97" s="41">
        <v>0</v>
      </c>
      <c r="I97" s="41">
        <v>0</v>
      </c>
      <c r="J97" s="31">
        <f>'03_FBA_Nivel1_Transfer'!H97</f>
        <v>34.979999999999997</v>
      </c>
      <c r="K97" s="32">
        <f>'03_FBA_Nivel1_Transfer'!I97</f>
        <v>0</v>
      </c>
      <c r="L97" s="32">
        <f t="shared" si="26"/>
        <v>3.3840000000000002E-2</v>
      </c>
      <c r="M97" s="32">
        <f t="shared" si="27"/>
        <v>0</v>
      </c>
      <c r="N97" s="32">
        <f t="shared" si="28"/>
        <v>0</v>
      </c>
      <c r="O97" s="47">
        <f t="shared" si="29"/>
        <v>3.3840000000000002E-2</v>
      </c>
      <c r="P97" s="41">
        <f t="shared" si="30"/>
        <v>6</v>
      </c>
      <c r="Q97" s="32">
        <f t="shared" si="31"/>
        <v>5.04</v>
      </c>
      <c r="R97" s="31">
        <f t="shared" si="32"/>
        <v>148.93617021276594</v>
      </c>
      <c r="S97" s="6" t="str">
        <f t="shared" si="33"/>
        <v>DISCOUNT 25% NOW</v>
      </c>
      <c r="T97" s="32">
        <f t="shared" si="34"/>
        <v>0.40608</v>
      </c>
      <c r="U97" s="32">
        <f t="shared" si="35"/>
        <v>0</v>
      </c>
      <c r="V97" s="4" t="str">
        <f t="shared" si="36"/>
        <v>Before 14th 23:59 PT</v>
      </c>
      <c r="W97" s="41">
        <f t="shared" si="37"/>
        <v>6</v>
      </c>
      <c r="X97" s="5" t="str">
        <f t="shared" si="38"/>
        <v>Discount to accelerate FIFO</v>
      </c>
    </row>
    <row r="98" spans="1:24" x14ac:dyDescent="0.3">
      <c r="A98" s="36" t="s">
        <v>469</v>
      </c>
      <c r="B98" s="16" t="s">
        <v>404</v>
      </c>
      <c r="C98" s="4" t="s">
        <v>188</v>
      </c>
      <c r="D98" s="34">
        <v>5.64E-3</v>
      </c>
      <c r="E98" s="41">
        <v>29</v>
      </c>
      <c r="F98" s="41">
        <v>18</v>
      </c>
      <c r="G98" s="41">
        <v>12</v>
      </c>
      <c r="H98" s="41">
        <v>0</v>
      </c>
      <c r="I98" s="41">
        <v>0</v>
      </c>
      <c r="J98" s="31">
        <f>'03_FBA_Nivel1_Transfer'!H98</f>
        <v>111.76</v>
      </c>
      <c r="K98" s="32">
        <f>'03_FBA_Nivel1_Transfer'!I98</f>
        <v>0</v>
      </c>
      <c r="L98" s="32">
        <f t="shared" si="26"/>
        <v>6.7680000000000004E-2</v>
      </c>
      <c r="M98" s="32">
        <f t="shared" si="27"/>
        <v>0</v>
      </c>
      <c r="N98" s="32">
        <f t="shared" si="28"/>
        <v>0</v>
      </c>
      <c r="O98" s="47">
        <f t="shared" si="29"/>
        <v>6.7680000000000004E-2</v>
      </c>
      <c r="P98" s="41">
        <f t="shared" si="30"/>
        <v>12</v>
      </c>
      <c r="Q98" s="32">
        <f t="shared" si="31"/>
        <v>10.08</v>
      </c>
      <c r="R98" s="31">
        <f t="shared" si="32"/>
        <v>148.93617021276594</v>
      </c>
      <c r="S98" s="6" t="str">
        <f t="shared" si="33"/>
        <v>DISCOUNT 25% NOW</v>
      </c>
      <c r="T98" s="32">
        <f t="shared" si="34"/>
        <v>0.81215999999999999</v>
      </c>
      <c r="U98" s="32">
        <f t="shared" si="35"/>
        <v>0</v>
      </c>
      <c r="V98" s="4" t="str">
        <f t="shared" si="36"/>
        <v>Before 14th 23:59 PT</v>
      </c>
      <c r="W98" s="41">
        <f t="shared" si="37"/>
        <v>12</v>
      </c>
      <c r="X98" s="5" t="str">
        <f t="shared" si="38"/>
        <v>Discount to accelerate FIFO</v>
      </c>
    </row>
    <row r="99" spans="1:24" x14ac:dyDescent="0.3">
      <c r="A99" s="36" t="s">
        <v>472</v>
      </c>
      <c r="B99" s="16" t="s">
        <v>404</v>
      </c>
      <c r="C99" s="4" t="s">
        <v>188</v>
      </c>
      <c r="D99" s="34">
        <v>5.64E-3</v>
      </c>
      <c r="E99" s="41">
        <v>39</v>
      </c>
      <c r="F99" s="41">
        <v>24</v>
      </c>
      <c r="G99" s="41">
        <v>16</v>
      </c>
      <c r="H99" s="41">
        <v>0</v>
      </c>
      <c r="I99" s="41">
        <v>0</v>
      </c>
      <c r="J99" s="31">
        <f>'03_FBA_Nivel1_Transfer'!H99</f>
        <v>123.14</v>
      </c>
      <c r="K99" s="32">
        <f>'03_FBA_Nivel1_Transfer'!I99</f>
        <v>0</v>
      </c>
      <c r="L99" s="32">
        <f t="shared" si="26"/>
        <v>9.0240000000000001E-2</v>
      </c>
      <c r="M99" s="32">
        <f t="shared" si="27"/>
        <v>0</v>
      </c>
      <c r="N99" s="32">
        <f t="shared" si="28"/>
        <v>0</v>
      </c>
      <c r="O99" s="47">
        <f t="shared" si="29"/>
        <v>9.0240000000000001E-2</v>
      </c>
      <c r="P99" s="41">
        <f t="shared" si="30"/>
        <v>16</v>
      </c>
      <c r="Q99" s="32">
        <f t="shared" si="31"/>
        <v>13.44</v>
      </c>
      <c r="R99" s="31">
        <f t="shared" si="32"/>
        <v>148.93617021276594</v>
      </c>
      <c r="S99" s="6" t="str">
        <f t="shared" si="33"/>
        <v>DISCOUNT 25% NOW</v>
      </c>
      <c r="T99" s="32">
        <f t="shared" si="34"/>
        <v>1.0828800000000001</v>
      </c>
      <c r="U99" s="32">
        <f t="shared" si="35"/>
        <v>0</v>
      </c>
      <c r="V99" s="4" t="str">
        <f t="shared" si="36"/>
        <v>Before 14th 23:59 PT</v>
      </c>
      <c r="W99" s="41">
        <f t="shared" si="37"/>
        <v>16</v>
      </c>
      <c r="X99" s="5" t="str">
        <f t="shared" si="38"/>
        <v>Discount to accelerate FIFO</v>
      </c>
    </row>
    <row r="100" spans="1:24" x14ac:dyDescent="0.3">
      <c r="A100" s="36" t="s">
        <v>475</v>
      </c>
      <c r="B100" s="16" t="s">
        <v>404</v>
      </c>
      <c r="C100" s="4" t="s">
        <v>188</v>
      </c>
      <c r="D100" s="34">
        <v>5.64E-3</v>
      </c>
      <c r="E100" s="41">
        <v>14</v>
      </c>
      <c r="F100" s="41">
        <v>9</v>
      </c>
      <c r="G100" s="41">
        <v>6</v>
      </c>
      <c r="H100" s="41">
        <v>0</v>
      </c>
      <c r="I100" s="41">
        <v>0</v>
      </c>
      <c r="J100" s="31">
        <f>'03_FBA_Nivel1_Transfer'!H100</f>
        <v>97.06</v>
      </c>
      <c r="K100" s="32">
        <f>'03_FBA_Nivel1_Transfer'!I100</f>
        <v>0</v>
      </c>
      <c r="L100" s="32">
        <f t="shared" si="26"/>
        <v>3.3840000000000002E-2</v>
      </c>
      <c r="M100" s="32">
        <f t="shared" si="27"/>
        <v>0</v>
      </c>
      <c r="N100" s="32">
        <f t="shared" si="28"/>
        <v>0</v>
      </c>
      <c r="O100" s="47">
        <f t="shared" si="29"/>
        <v>3.3840000000000002E-2</v>
      </c>
      <c r="P100" s="41">
        <f t="shared" si="30"/>
        <v>6</v>
      </c>
      <c r="Q100" s="32">
        <f t="shared" si="31"/>
        <v>5.04</v>
      </c>
      <c r="R100" s="31">
        <f t="shared" si="32"/>
        <v>148.93617021276594</v>
      </c>
      <c r="S100" s="6" t="str">
        <f t="shared" si="33"/>
        <v>DISCOUNT 25% NOW</v>
      </c>
      <c r="T100" s="32">
        <f t="shared" si="34"/>
        <v>0.40608</v>
      </c>
      <c r="U100" s="32">
        <f t="shared" si="35"/>
        <v>0</v>
      </c>
      <c r="V100" s="4" t="str">
        <f t="shared" si="36"/>
        <v>Before 14th 23:59 PT</v>
      </c>
      <c r="W100" s="41">
        <f t="shared" si="37"/>
        <v>6</v>
      </c>
      <c r="X100" s="5" t="str">
        <f t="shared" si="38"/>
        <v>Discount to accelerate FIFO</v>
      </c>
    </row>
    <row r="101" spans="1:24" x14ac:dyDescent="0.3">
      <c r="A101" s="36" t="s">
        <v>478</v>
      </c>
      <c r="B101" s="16" t="s">
        <v>404</v>
      </c>
      <c r="C101" s="4" t="s">
        <v>221</v>
      </c>
      <c r="D101" s="34">
        <v>5.64E-3</v>
      </c>
      <c r="E101" s="41">
        <v>0</v>
      </c>
      <c r="F101" s="41">
        <v>0</v>
      </c>
      <c r="G101" s="41">
        <v>0</v>
      </c>
      <c r="H101" s="41">
        <v>0</v>
      </c>
      <c r="I101" s="41">
        <v>0</v>
      </c>
      <c r="J101" s="31">
        <f>'03_FBA_Nivel1_Transfer'!H101</f>
        <v>8.1</v>
      </c>
      <c r="K101" s="32">
        <f>'03_FBA_Nivel1_Transfer'!I101</f>
        <v>0</v>
      </c>
      <c r="L101" s="32">
        <f t="shared" ref="L101:L132" si="39">G101*D101*1</f>
        <v>0</v>
      </c>
      <c r="M101" s="32">
        <f t="shared" ref="M101:M132" si="40">H101*D101*5.45</f>
        <v>0</v>
      </c>
      <c r="N101" s="32">
        <f t="shared" ref="N101:N132" si="41">I101*MAX(D101*6.9,0.3)</f>
        <v>0</v>
      </c>
      <c r="O101" s="47">
        <f t="shared" ref="O101:O132" si="42">SUM(L101:N101)</f>
        <v>0</v>
      </c>
      <c r="P101" s="41">
        <f t="shared" ref="P101:P132" si="43">SUM(G101:I101)</f>
        <v>0</v>
      </c>
      <c r="Q101" s="32">
        <f t="shared" ref="Q101:Q132" si="44">P101*Removal_Fee</f>
        <v>0</v>
      </c>
      <c r="R101" s="31" t="str">
        <f t="shared" ref="R101:R132" si="45">IF(O101&gt;0,Q101/O101,"")</f>
        <v/>
      </c>
      <c r="S101" s="6" t="str">
        <f t="shared" ref="S101:S132" si="46">IF(AND(P101&gt;0,ISNUMBER(R101),R101&lt;=AIS_Payback),"EXECUTE REMOVAL",IF(O101&gt;0,"DISCOUNT 25% NOW","HEALTHY"))</f>
        <v>HEALTHY</v>
      </c>
      <c r="T101" s="32">
        <f t="shared" ref="T101:T132" si="47">O101*12</f>
        <v>0</v>
      </c>
      <c r="U101" s="32">
        <f t="shared" ref="U101:U132" si="48">IF(S101="EXECUTE REMOVAL",T101-Q101,0)</f>
        <v>0</v>
      </c>
      <c r="V101" s="4" t="str">
        <f t="shared" ref="V101:V132" si="49">IF(AND(P101&gt;0,O101&gt;0),"Before 14th 23:59 PT","-")</f>
        <v>-</v>
      </c>
      <c r="W101" s="41">
        <f t="shared" ref="W101:W132" si="50">SUM(G101:I101)</f>
        <v>0</v>
      </c>
      <c r="X101" s="5" t="str">
        <f t="shared" ref="X101:X132" si="51">IF(P101=0,"Clear",IF(R101&lt;=AIS_Payback,"Remove before cliff","Discount to accelerate FIFO"))</f>
        <v>Clear</v>
      </c>
    </row>
    <row r="102" spans="1:24" x14ac:dyDescent="0.3">
      <c r="A102" s="36" t="s">
        <v>481</v>
      </c>
      <c r="B102" s="16" t="s">
        <v>404</v>
      </c>
      <c r="C102" s="4" t="s">
        <v>184</v>
      </c>
      <c r="D102" s="34">
        <v>5.64E-3</v>
      </c>
      <c r="E102" s="41">
        <v>67</v>
      </c>
      <c r="F102" s="41">
        <v>34</v>
      </c>
      <c r="G102" s="41">
        <v>14</v>
      </c>
      <c r="H102" s="41">
        <v>0</v>
      </c>
      <c r="I102" s="41">
        <v>0</v>
      </c>
      <c r="J102" s="31">
        <f>'03_FBA_Nivel1_Transfer'!H102</f>
        <v>53.1</v>
      </c>
      <c r="K102" s="32">
        <f>'03_FBA_Nivel1_Transfer'!I102</f>
        <v>0</v>
      </c>
      <c r="L102" s="32">
        <f t="shared" si="39"/>
        <v>7.8960000000000002E-2</v>
      </c>
      <c r="M102" s="32">
        <f t="shared" si="40"/>
        <v>0</v>
      </c>
      <c r="N102" s="32">
        <f t="shared" si="41"/>
        <v>0</v>
      </c>
      <c r="O102" s="47">
        <f t="shared" si="42"/>
        <v>7.8960000000000002E-2</v>
      </c>
      <c r="P102" s="41">
        <f t="shared" si="43"/>
        <v>14</v>
      </c>
      <c r="Q102" s="32">
        <f t="shared" si="44"/>
        <v>11.76</v>
      </c>
      <c r="R102" s="31">
        <f t="shared" si="45"/>
        <v>148.93617021276594</v>
      </c>
      <c r="S102" s="6" t="str">
        <f t="shared" si="46"/>
        <v>DISCOUNT 25% NOW</v>
      </c>
      <c r="T102" s="32">
        <f t="shared" si="47"/>
        <v>0.94752000000000003</v>
      </c>
      <c r="U102" s="32">
        <f t="shared" si="48"/>
        <v>0</v>
      </c>
      <c r="V102" s="4" t="str">
        <f t="shared" si="49"/>
        <v>Before 14th 23:59 PT</v>
      </c>
      <c r="W102" s="41">
        <f t="shared" si="50"/>
        <v>14</v>
      </c>
      <c r="X102" s="5" t="str">
        <f t="shared" si="51"/>
        <v>Discount to accelerate FIFO</v>
      </c>
    </row>
    <row r="103" spans="1:24" x14ac:dyDescent="0.3">
      <c r="A103" s="36" t="s">
        <v>484</v>
      </c>
      <c r="B103" s="16" t="s">
        <v>404</v>
      </c>
      <c r="C103" s="4" t="s">
        <v>172</v>
      </c>
      <c r="D103" s="34">
        <v>5.64E-3</v>
      </c>
      <c r="E103" s="41">
        <v>462</v>
      </c>
      <c r="F103" s="41">
        <v>217</v>
      </c>
      <c r="G103" s="41">
        <v>43</v>
      </c>
      <c r="H103" s="41">
        <v>0</v>
      </c>
      <c r="I103" s="41">
        <v>0</v>
      </c>
      <c r="J103" s="31">
        <f>'03_FBA_Nivel1_Transfer'!H103</f>
        <v>35.58</v>
      </c>
      <c r="K103" s="32">
        <f>'03_FBA_Nivel1_Transfer'!I103</f>
        <v>0</v>
      </c>
      <c r="L103" s="32">
        <f t="shared" si="39"/>
        <v>0.24252000000000001</v>
      </c>
      <c r="M103" s="32">
        <f t="shared" si="40"/>
        <v>0</v>
      </c>
      <c r="N103" s="32">
        <f t="shared" si="41"/>
        <v>0</v>
      </c>
      <c r="O103" s="47">
        <f t="shared" si="42"/>
        <v>0.24252000000000001</v>
      </c>
      <c r="P103" s="41">
        <f t="shared" si="43"/>
        <v>43</v>
      </c>
      <c r="Q103" s="32">
        <f t="shared" si="44"/>
        <v>36.119999999999997</v>
      </c>
      <c r="R103" s="31">
        <f t="shared" si="45"/>
        <v>148.93617021276594</v>
      </c>
      <c r="S103" s="6" t="str">
        <f t="shared" si="46"/>
        <v>DISCOUNT 25% NOW</v>
      </c>
      <c r="T103" s="32">
        <f t="shared" si="47"/>
        <v>2.9102399999999999</v>
      </c>
      <c r="U103" s="32">
        <f t="shared" si="48"/>
        <v>0</v>
      </c>
      <c r="V103" s="4" t="str">
        <f t="shared" si="49"/>
        <v>Before 14th 23:59 PT</v>
      </c>
      <c r="W103" s="41">
        <f t="shared" si="50"/>
        <v>43</v>
      </c>
      <c r="X103" s="5" t="str">
        <f t="shared" si="51"/>
        <v>Discount to accelerate FIFO</v>
      </c>
    </row>
    <row r="104" spans="1:24" x14ac:dyDescent="0.3">
      <c r="A104" s="36" t="s">
        <v>487</v>
      </c>
      <c r="B104" s="16" t="s">
        <v>404</v>
      </c>
      <c r="C104" s="4" t="s">
        <v>188</v>
      </c>
      <c r="D104" s="34">
        <v>5.64E-3</v>
      </c>
      <c r="E104" s="41">
        <v>60</v>
      </c>
      <c r="F104" s="41">
        <v>36</v>
      </c>
      <c r="G104" s="41">
        <v>24</v>
      </c>
      <c r="H104" s="41">
        <v>0</v>
      </c>
      <c r="I104" s="41">
        <v>0</v>
      </c>
      <c r="J104" s="31">
        <f>'03_FBA_Nivel1_Transfer'!H104</f>
        <v>50.04</v>
      </c>
      <c r="K104" s="32">
        <f>'03_FBA_Nivel1_Transfer'!I104</f>
        <v>0</v>
      </c>
      <c r="L104" s="32">
        <f t="shared" si="39"/>
        <v>0.13536000000000001</v>
      </c>
      <c r="M104" s="32">
        <f t="shared" si="40"/>
        <v>0</v>
      </c>
      <c r="N104" s="32">
        <f t="shared" si="41"/>
        <v>0</v>
      </c>
      <c r="O104" s="47">
        <f t="shared" si="42"/>
        <v>0.13536000000000001</v>
      </c>
      <c r="P104" s="41">
        <f t="shared" si="43"/>
        <v>24</v>
      </c>
      <c r="Q104" s="32">
        <f t="shared" si="44"/>
        <v>20.16</v>
      </c>
      <c r="R104" s="31">
        <f t="shared" si="45"/>
        <v>148.93617021276594</v>
      </c>
      <c r="S104" s="6" t="str">
        <f t="shared" si="46"/>
        <v>DISCOUNT 25% NOW</v>
      </c>
      <c r="T104" s="32">
        <f t="shared" si="47"/>
        <v>1.62432</v>
      </c>
      <c r="U104" s="32">
        <f t="shared" si="48"/>
        <v>0</v>
      </c>
      <c r="V104" s="4" t="str">
        <f t="shared" si="49"/>
        <v>Before 14th 23:59 PT</v>
      </c>
      <c r="W104" s="41">
        <f t="shared" si="50"/>
        <v>24</v>
      </c>
      <c r="X104" s="5" t="str">
        <f t="shared" si="51"/>
        <v>Discount to accelerate FIFO</v>
      </c>
    </row>
    <row r="105" spans="1:24" x14ac:dyDescent="0.3">
      <c r="A105" s="36" t="s">
        <v>490</v>
      </c>
      <c r="B105" s="16" t="s">
        <v>404</v>
      </c>
      <c r="C105" s="4" t="s">
        <v>179</v>
      </c>
      <c r="D105" s="34">
        <v>5.64E-3</v>
      </c>
      <c r="E105" s="41">
        <v>119</v>
      </c>
      <c r="F105" s="41">
        <v>62</v>
      </c>
      <c r="G105" s="41">
        <v>25</v>
      </c>
      <c r="H105" s="41">
        <v>0</v>
      </c>
      <c r="I105" s="41">
        <v>0</v>
      </c>
      <c r="J105" s="31">
        <f>'03_FBA_Nivel1_Transfer'!H105</f>
        <v>41.08</v>
      </c>
      <c r="K105" s="32">
        <f>'03_FBA_Nivel1_Transfer'!I105</f>
        <v>0</v>
      </c>
      <c r="L105" s="32">
        <f t="shared" si="39"/>
        <v>0.14100000000000001</v>
      </c>
      <c r="M105" s="32">
        <f t="shared" si="40"/>
        <v>0</v>
      </c>
      <c r="N105" s="32">
        <f t="shared" si="41"/>
        <v>0</v>
      </c>
      <c r="O105" s="47">
        <f t="shared" si="42"/>
        <v>0.14100000000000001</v>
      </c>
      <c r="P105" s="41">
        <f t="shared" si="43"/>
        <v>25</v>
      </c>
      <c r="Q105" s="32">
        <f t="shared" si="44"/>
        <v>21</v>
      </c>
      <c r="R105" s="31">
        <f t="shared" si="45"/>
        <v>148.93617021276594</v>
      </c>
      <c r="S105" s="6" t="str">
        <f t="shared" si="46"/>
        <v>DISCOUNT 25% NOW</v>
      </c>
      <c r="T105" s="32">
        <f t="shared" si="47"/>
        <v>1.6920000000000002</v>
      </c>
      <c r="U105" s="32">
        <f t="shared" si="48"/>
        <v>0</v>
      </c>
      <c r="V105" s="4" t="str">
        <f t="shared" si="49"/>
        <v>Before 14th 23:59 PT</v>
      </c>
      <c r="W105" s="41">
        <f t="shared" si="50"/>
        <v>25</v>
      </c>
      <c r="X105" s="5" t="str">
        <f t="shared" si="51"/>
        <v>Discount to accelerate FIFO</v>
      </c>
    </row>
    <row r="106" spans="1:24" x14ac:dyDescent="0.3">
      <c r="A106" s="36" t="s">
        <v>493</v>
      </c>
      <c r="B106" s="16" t="s">
        <v>404</v>
      </c>
      <c r="C106" s="4" t="s">
        <v>188</v>
      </c>
      <c r="D106" s="34">
        <v>5.64E-3</v>
      </c>
      <c r="E106" s="41">
        <v>22</v>
      </c>
      <c r="F106" s="41">
        <v>13</v>
      </c>
      <c r="G106" s="41">
        <v>9</v>
      </c>
      <c r="H106" s="41">
        <v>0</v>
      </c>
      <c r="I106" s="41">
        <v>0</v>
      </c>
      <c r="J106" s="31">
        <f>'03_FBA_Nivel1_Transfer'!H106</f>
        <v>40.909999999999997</v>
      </c>
      <c r="K106" s="32">
        <f>'03_FBA_Nivel1_Transfer'!I106</f>
        <v>0</v>
      </c>
      <c r="L106" s="32">
        <f t="shared" si="39"/>
        <v>5.076E-2</v>
      </c>
      <c r="M106" s="32">
        <f t="shared" si="40"/>
        <v>0</v>
      </c>
      <c r="N106" s="32">
        <f t="shared" si="41"/>
        <v>0</v>
      </c>
      <c r="O106" s="47">
        <f t="shared" si="42"/>
        <v>5.076E-2</v>
      </c>
      <c r="P106" s="41">
        <f t="shared" si="43"/>
        <v>9</v>
      </c>
      <c r="Q106" s="32">
        <f t="shared" si="44"/>
        <v>7.56</v>
      </c>
      <c r="R106" s="31">
        <f t="shared" si="45"/>
        <v>148.93617021276594</v>
      </c>
      <c r="S106" s="6" t="str">
        <f t="shared" si="46"/>
        <v>DISCOUNT 25% NOW</v>
      </c>
      <c r="T106" s="32">
        <f t="shared" si="47"/>
        <v>0.60911999999999999</v>
      </c>
      <c r="U106" s="32">
        <f t="shared" si="48"/>
        <v>0</v>
      </c>
      <c r="V106" s="4" t="str">
        <f t="shared" si="49"/>
        <v>Before 14th 23:59 PT</v>
      </c>
      <c r="W106" s="41">
        <f t="shared" si="50"/>
        <v>9</v>
      </c>
      <c r="X106" s="5" t="str">
        <f t="shared" si="51"/>
        <v>Discount to accelerate FIFO</v>
      </c>
    </row>
    <row r="107" spans="1:24" x14ac:dyDescent="0.3">
      <c r="A107" s="36" t="s">
        <v>496</v>
      </c>
      <c r="B107" s="16" t="s">
        <v>404</v>
      </c>
      <c r="C107" s="4" t="s">
        <v>188</v>
      </c>
      <c r="D107" s="34">
        <v>5.64E-3</v>
      </c>
      <c r="E107" s="41">
        <v>0</v>
      </c>
      <c r="F107" s="41">
        <v>0</v>
      </c>
      <c r="G107" s="41">
        <v>0</v>
      </c>
      <c r="H107" s="41">
        <v>0</v>
      </c>
      <c r="I107" s="41">
        <v>0</v>
      </c>
      <c r="J107" s="31">
        <f>'03_FBA_Nivel1_Transfer'!H107</f>
        <v>0</v>
      </c>
      <c r="K107" s="32">
        <f>'03_FBA_Nivel1_Transfer'!I107</f>
        <v>0</v>
      </c>
      <c r="L107" s="32">
        <f t="shared" si="39"/>
        <v>0</v>
      </c>
      <c r="M107" s="32">
        <f t="shared" si="40"/>
        <v>0</v>
      </c>
      <c r="N107" s="32">
        <f t="shared" si="41"/>
        <v>0</v>
      </c>
      <c r="O107" s="47">
        <f t="shared" si="42"/>
        <v>0</v>
      </c>
      <c r="P107" s="41">
        <f t="shared" si="43"/>
        <v>0</v>
      </c>
      <c r="Q107" s="32">
        <f t="shared" si="44"/>
        <v>0</v>
      </c>
      <c r="R107" s="31" t="str">
        <f t="shared" si="45"/>
        <v/>
      </c>
      <c r="S107" s="6" t="str">
        <f t="shared" si="46"/>
        <v>HEALTHY</v>
      </c>
      <c r="T107" s="32">
        <f t="shared" si="47"/>
        <v>0</v>
      </c>
      <c r="U107" s="32">
        <f t="shared" si="48"/>
        <v>0</v>
      </c>
      <c r="V107" s="4" t="str">
        <f t="shared" si="49"/>
        <v>-</v>
      </c>
      <c r="W107" s="41">
        <f t="shared" si="50"/>
        <v>0</v>
      </c>
      <c r="X107" s="5" t="str">
        <f t="shared" si="51"/>
        <v>Clear</v>
      </c>
    </row>
    <row r="108" spans="1:24" x14ac:dyDescent="0.3">
      <c r="A108" s="36" t="s">
        <v>499</v>
      </c>
      <c r="B108" s="16" t="s">
        <v>404</v>
      </c>
      <c r="C108" s="4" t="s">
        <v>188</v>
      </c>
      <c r="D108" s="34">
        <v>5.64E-3</v>
      </c>
      <c r="E108" s="41">
        <v>4</v>
      </c>
      <c r="F108" s="41">
        <v>3</v>
      </c>
      <c r="G108" s="41">
        <v>2</v>
      </c>
      <c r="H108" s="41">
        <v>0</v>
      </c>
      <c r="I108" s="41">
        <v>0</v>
      </c>
      <c r="J108" s="31">
        <f>'03_FBA_Nivel1_Transfer'!H108</f>
        <v>59.44</v>
      </c>
      <c r="K108" s="32">
        <f>'03_FBA_Nivel1_Transfer'!I108</f>
        <v>0</v>
      </c>
      <c r="L108" s="32">
        <f t="shared" si="39"/>
        <v>1.128E-2</v>
      </c>
      <c r="M108" s="32">
        <f t="shared" si="40"/>
        <v>0</v>
      </c>
      <c r="N108" s="32">
        <f t="shared" si="41"/>
        <v>0</v>
      </c>
      <c r="O108" s="47">
        <f t="shared" si="42"/>
        <v>1.128E-2</v>
      </c>
      <c r="P108" s="41">
        <f t="shared" si="43"/>
        <v>2</v>
      </c>
      <c r="Q108" s="32">
        <f t="shared" si="44"/>
        <v>1.68</v>
      </c>
      <c r="R108" s="31">
        <f t="shared" si="45"/>
        <v>148.93617021276594</v>
      </c>
      <c r="S108" s="6" t="str">
        <f t="shared" si="46"/>
        <v>DISCOUNT 25% NOW</v>
      </c>
      <c r="T108" s="32">
        <f t="shared" si="47"/>
        <v>0.13536000000000001</v>
      </c>
      <c r="U108" s="32">
        <f t="shared" si="48"/>
        <v>0</v>
      </c>
      <c r="V108" s="4" t="str">
        <f t="shared" si="49"/>
        <v>Before 14th 23:59 PT</v>
      </c>
      <c r="W108" s="41">
        <f t="shared" si="50"/>
        <v>2</v>
      </c>
      <c r="X108" s="5" t="str">
        <f t="shared" si="51"/>
        <v>Discount to accelerate FIFO</v>
      </c>
    </row>
    <row r="109" spans="1:24" x14ac:dyDescent="0.3">
      <c r="A109" s="36" t="s">
        <v>502</v>
      </c>
      <c r="B109" s="16" t="s">
        <v>404</v>
      </c>
      <c r="C109" s="4" t="s">
        <v>188</v>
      </c>
      <c r="D109" s="34">
        <v>5.64E-3</v>
      </c>
      <c r="E109" s="41">
        <v>19</v>
      </c>
      <c r="F109" s="41">
        <v>12</v>
      </c>
      <c r="G109" s="41">
        <v>8</v>
      </c>
      <c r="H109" s="41">
        <v>0</v>
      </c>
      <c r="I109" s="41">
        <v>0</v>
      </c>
      <c r="J109" s="31">
        <f>'03_FBA_Nivel1_Transfer'!H109</f>
        <v>38.33</v>
      </c>
      <c r="K109" s="32">
        <f>'03_FBA_Nivel1_Transfer'!I109</f>
        <v>0</v>
      </c>
      <c r="L109" s="32">
        <f t="shared" si="39"/>
        <v>4.512E-2</v>
      </c>
      <c r="M109" s="32">
        <f t="shared" si="40"/>
        <v>0</v>
      </c>
      <c r="N109" s="32">
        <f t="shared" si="41"/>
        <v>0</v>
      </c>
      <c r="O109" s="47">
        <f t="shared" si="42"/>
        <v>4.512E-2</v>
      </c>
      <c r="P109" s="41">
        <f t="shared" si="43"/>
        <v>8</v>
      </c>
      <c r="Q109" s="32">
        <f t="shared" si="44"/>
        <v>6.72</v>
      </c>
      <c r="R109" s="31">
        <f t="shared" si="45"/>
        <v>148.93617021276594</v>
      </c>
      <c r="S109" s="6" t="str">
        <f t="shared" si="46"/>
        <v>DISCOUNT 25% NOW</v>
      </c>
      <c r="T109" s="32">
        <f t="shared" si="47"/>
        <v>0.54144000000000003</v>
      </c>
      <c r="U109" s="32">
        <f t="shared" si="48"/>
        <v>0</v>
      </c>
      <c r="V109" s="4" t="str">
        <f t="shared" si="49"/>
        <v>Before 14th 23:59 PT</v>
      </c>
      <c r="W109" s="41">
        <f t="shared" si="50"/>
        <v>8</v>
      </c>
      <c r="X109" s="5" t="str">
        <f t="shared" si="51"/>
        <v>Discount to accelerate FIFO</v>
      </c>
    </row>
    <row r="110" spans="1:24" x14ac:dyDescent="0.3">
      <c r="A110" s="36" t="s">
        <v>505</v>
      </c>
      <c r="B110" s="16" t="s">
        <v>404</v>
      </c>
      <c r="C110" s="4" t="s">
        <v>188</v>
      </c>
      <c r="D110" s="34">
        <v>5.64E-3</v>
      </c>
      <c r="E110" s="41">
        <v>19</v>
      </c>
      <c r="F110" s="41">
        <v>11</v>
      </c>
      <c r="G110" s="41">
        <v>7</v>
      </c>
      <c r="H110" s="41">
        <v>0</v>
      </c>
      <c r="I110" s="41">
        <v>0</v>
      </c>
      <c r="J110" s="31">
        <f>'03_FBA_Nivel1_Transfer'!H110</f>
        <v>74.260000000000005</v>
      </c>
      <c r="K110" s="32">
        <f>'03_FBA_Nivel1_Transfer'!I110</f>
        <v>0</v>
      </c>
      <c r="L110" s="32">
        <f t="shared" si="39"/>
        <v>3.9480000000000001E-2</v>
      </c>
      <c r="M110" s="32">
        <f t="shared" si="40"/>
        <v>0</v>
      </c>
      <c r="N110" s="32">
        <f t="shared" si="41"/>
        <v>0</v>
      </c>
      <c r="O110" s="47">
        <f t="shared" si="42"/>
        <v>3.9480000000000001E-2</v>
      </c>
      <c r="P110" s="41">
        <f t="shared" si="43"/>
        <v>7</v>
      </c>
      <c r="Q110" s="32">
        <f t="shared" si="44"/>
        <v>5.88</v>
      </c>
      <c r="R110" s="31">
        <f t="shared" si="45"/>
        <v>148.93617021276594</v>
      </c>
      <c r="S110" s="6" t="str">
        <f t="shared" si="46"/>
        <v>DISCOUNT 25% NOW</v>
      </c>
      <c r="T110" s="32">
        <f t="shared" si="47"/>
        <v>0.47376000000000001</v>
      </c>
      <c r="U110" s="32">
        <f t="shared" si="48"/>
        <v>0</v>
      </c>
      <c r="V110" s="4" t="str">
        <f t="shared" si="49"/>
        <v>Before 14th 23:59 PT</v>
      </c>
      <c r="W110" s="41">
        <f t="shared" si="50"/>
        <v>7</v>
      </c>
      <c r="X110" s="5" t="str">
        <f t="shared" si="51"/>
        <v>Discount to accelerate FIFO</v>
      </c>
    </row>
    <row r="111" spans="1:24" x14ac:dyDescent="0.3">
      <c r="A111" s="36" t="s">
        <v>508</v>
      </c>
      <c r="B111" s="16" t="s">
        <v>404</v>
      </c>
      <c r="C111" s="4" t="s">
        <v>188</v>
      </c>
      <c r="D111" s="34">
        <v>5.64E-3</v>
      </c>
      <c r="E111" s="41">
        <v>26</v>
      </c>
      <c r="F111" s="41">
        <v>16</v>
      </c>
      <c r="G111" s="41">
        <v>11</v>
      </c>
      <c r="H111" s="41">
        <v>0</v>
      </c>
      <c r="I111" s="41">
        <v>0</v>
      </c>
      <c r="J111" s="31">
        <f>'03_FBA_Nivel1_Transfer'!H111</f>
        <v>71.42</v>
      </c>
      <c r="K111" s="32">
        <f>'03_FBA_Nivel1_Transfer'!I111</f>
        <v>0</v>
      </c>
      <c r="L111" s="32">
        <f t="shared" si="39"/>
        <v>6.2039999999999998E-2</v>
      </c>
      <c r="M111" s="32">
        <f t="shared" si="40"/>
        <v>0</v>
      </c>
      <c r="N111" s="32">
        <f t="shared" si="41"/>
        <v>0</v>
      </c>
      <c r="O111" s="47">
        <f t="shared" si="42"/>
        <v>6.2039999999999998E-2</v>
      </c>
      <c r="P111" s="41">
        <f t="shared" si="43"/>
        <v>11</v>
      </c>
      <c r="Q111" s="32">
        <f t="shared" si="44"/>
        <v>9.24</v>
      </c>
      <c r="R111" s="31">
        <f t="shared" si="45"/>
        <v>148.93617021276597</v>
      </c>
      <c r="S111" s="6" t="str">
        <f t="shared" si="46"/>
        <v>DISCOUNT 25% NOW</v>
      </c>
      <c r="T111" s="32">
        <f t="shared" si="47"/>
        <v>0.74448000000000003</v>
      </c>
      <c r="U111" s="32">
        <f t="shared" si="48"/>
        <v>0</v>
      </c>
      <c r="V111" s="4" t="str">
        <f t="shared" si="49"/>
        <v>Before 14th 23:59 PT</v>
      </c>
      <c r="W111" s="41">
        <f t="shared" si="50"/>
        <v>11</v>
      </c>
      <c r="X111" s="5" t="str">
        <f t="shared" si="51"/>
        <v>Discount to accelerate FIFO</v>
      </c>
    </row>
    <row r="112" spans="1:24" x14ac:dyDescent="0.3">
      <c r="A112" s="36" t="s">
        <v>511</v>
      </c>
      <c r="B112" s="16" t="s">
        <v>404</v>
      </c>
      <c r="C112" s="4" t="s">
        <v>188</v>
      </c>
      <c r="D112" s="34">
        <v>5.64E-3</v>
      </c>
      <c r="E112" s="41">
        <v>5</v>
      </c>
      <c r="F112" s="41">
        <v>3</v>
      </c>
      <c r="G112" s="41">
        <v>2</v>
      </c>
      <c r="H112" s="41">
        <v>0</v>
      </c>
      <c r="I112" s="41">
        <v>0</v>
      </c>
      <c r="J112" s="31">
        <f>'03_FBA_Nivel1_Transfer'!H112</f>
        <v>78</v>
      </c>
      <c r="K112" s="32">
        <f>'03_FBA_Nivel1_Transfer'!I112</f>
        <v>0</v>
      </c>
      <c r="L112" s="32">
        <f t="shared" si="39"/>
        <v>1.128E-2</v>
      </c>
      <c r="M112" s="32">
        <f t="shared" si="40"/>
        <v>0</v>
      </c>
      <c r="N112" s="32">
        <f t="shared" si="41"/>
        <v>0</v>
      </c>
      <c r="O112" s="47">
        <f t="shared" si="42"/>
        <v>1.128E-2</v>
      </c>
      <c r="P112" s="41">
        <f t="shared" si="43"/>
        <v>2</v>
      </c>
      <c r="Q112" s="32">
        <f t="shared" si="44"/>
        <v>1.68</v>
      </c>
      <c r="R112" s="31">
        <f t="shared" si="45"/>
        <v>148.93617021276594</v>
      </c>
      <c r="S112" s="6" t="str">
        <f t="shared" si="46"/>
        <v>DISCOUNT 25% NOW</v>
      </c>
      <c r="T112" s="32">
        <f t="shared" si="47"/>
        <v>0.13536000000000001</v>
      </c>
      <c r="U112" s="32">
        <f t="shared" si="48"/>
        <v>0</v>
      </c>
      <c r="V112" s="4" t="str">
        <f t="shared" si="49"/>
        <v>Before 14th 23:59 PT</v>
      </c>
      <c r="W112" s="41">
        <f t="shared" si="50"/>
        <v>2</v>
      </c>
      <c r="X112" s="5" t="str">
        <f t="shared" si="51"/>
        <v>Discount to accelerate FIFO</v>
      </c>
    </row>
    <row r="113" spans="1:24" x14ac:dyDescent="0.3">
      <c r="A113" s="36" t="s">
        <v>514</v>
      </c>
      <c r="B113" s="16" t="s">
        <v>515</v>
      </c>
      <c r="C113" s="4" t="s">
        <v>184</v>
      </c>
      <c r="D113" s="34">
        <v>3.5000000000000001E-3</v>
      </c>
      <c r="E113" s="41">
        <v>106</v>
      </c>
      <c r="F113" s="41">
        <v>55</v>
      </c>
      <c r="G113" s="41">
        <v>22</v>
      </c>
      <c r="H113" s="41">
        <v>0</v>
      </c>
      <c r="I113" s="41">
        <v>0</v>
      </c>
      <c r="J113" s="31">
        <f>'03_FBA_Nivel1_Transfer'!H113</f>
        <v>35.270000000000003</v>
      </c>
      <c r="K113" s="32">
        <f>'03_FBA_Nivel1_Transfer'!I113</f>
        <v>0</v>
      </c>
      <c r="L113" s="32">
        <f t="shared" si="39"/>
        <v>7.6999999999999999E-2</v>
      </c>
      <c r="M113" s="32">
        <f t="shared" si="40"/>
        <v>0</v>
      </c>
      <c r="N113" s="32">
        <f t="shared" si="41"/>
        <v>0</v>
      </c>
      <c r="O113" s="47">
        <f t="shared" si="42"/>
        <v>7.6999999999999999E-2</v>
      </c>
      <c r="P113" s="41">
        <f t="shared" si="43"/>
        <v>22</v>
      </c>
      <c r="Q113" s="32">
        <f t="shared" si="44"/>
        <v>18.48</v>
      </c>
      <c r="R113" s="31">
        <f t="shared" si="45"/>
        <v>240</v>
      </c>
      <c r="S113" s="6" t="str">
        <f t="shared" si="46"/>
        <v>DISCOUNT 25% NOW</v>
      </c>
      <c r="T113" s="32">
        <f t="shared" si="47"/>
        <v>0.92399999999999993</v>
      </c>
      <c r="U113" s="32">
        <f t="shared" si="48"/>
        <v>0</v>
      </c>
      <c r="V113" s="4" t="str">
        <f t="shared" si="49"/>
        <v>Before 14th 23:59 PT</v>
      </c>
      <c r="W113" s="41">
        <f t="shared" si="50"/>
        <v>22</v>
      </c>
      <c r="X113" s="5" t="str">
        <f t="shared" si="51"/>
        <v>Discount to accelerate FIFO</v>
      </c>
    </row>
    <row r="114" spans="1:24" x14ac:dyDescent="0.3">
      <c r="A114" s="36" t="s">
        <v>521</v>
      </c>
      <c r="B114" s="16" t="s">
        <v>515</v>
      </c>
      <c r="C114" s="4" t="s">
        <v>184</v>
      </c>
      <c r="D114" s="34">
        <v>3.5000000000000001E-3</v>
      </c>
      <c r="E114" s="41">
        <v>86</v>
      </c>
      <c r="F114" s="41">
        <v>45</v>
      </c>
      <c r="G114" s="41">
        <v>18</v>
      </c>
      <c r="H114" s="41">
        <v>0</v>
      </c>
      <c r="I114" s="41">
        <v>0</v>
      </c>
      <c r="J114" s="31">
        <f>'03_FBA_Nivel1_Transfer'!H114</f>
        <v>50.08</v>
      </c>
      <c r="K114" s="32">
        <f>'03_FBA_Nivel1_Transfer'!I114</f>
        <v>0</v>
      </c>
      <c r="L114" s="32">
        <f t="shared" si="39"/>
        <v>6.3E-2</v>
      </c>
      <c r="M114" s="32">
        <f t="shared" si="40"/>
        <v>0</v>
      </c>
      <c r="N114" s="32">
        <f t="shared" si="41"/>
        <v>0</v>
      </c>
      <c r="O114" s="47">
        <f t="shared" si="42"/>
        <v>6.3E-2</v>
      </c>
      <c r="P114" s="41">
        <f t="shared" si="43"/>
        <v>18</v>
      </c>
      <c r="Q114" s="32">
        <f t="shared" si="44"/>
        <v>15.12</v>
      </c>
      <c r="R114" s="31">
        <f t="shared" si="45"/>
        <v>240</v>
      </c>
      <c r="S114" s="6" t="str">
        <f t="shared" si="46"/>
        <v>DISCOUNT 25% NOW</v>
      </c>
      <c r="T114" s="32">
        <f t="shared" si="47"/>
        <v>0.75600000000000001</v>
      </c>
      <c r="U114" s="32">
        <f t="shared" si="48"/>
        <v>0</v>
      </c>
      <c r="V114" s="4" t="str">
        <f t="shared" si="49"/>
        <v>Before 14th 23:59 PT</v>
      </c>
      <c r="W114" s="41">
        <f t="shared" si="50"/>
        <v>18</v>
      </c>
      <c r="X114" s="5" t="str">
        <f t="shared" si="51"/>
        <v>Discount to accelerate FIFO</v>
      </c>
    </row>
    <row r="115" spans="1:24" x14ac:dyDescent="0.3">
      <c r="A115" s="36" t="s">
        <v>524</v>
      </c>
      <c r="B115" s="16" t="s">
        <v>515</v>
      </c>
      <c r="C115" s="4" t="s">
        <v>184</v>
      </c>
      <c r="D115" s="34">
        <v>3.5000000000000001E-3</v>
      </c>
      <c r="E115" s="41">
        <v>77</v>
      </c>
      <c r="F115" s="41">
        <v>40</v>
      </c>
      <c r="G115" s="41">
        <v>16</v>
      </c>
      <c r="H115" s="41">
        <v>0</v>
      </c>
      <c r="I115" s="41">
        <v>0</v>
      </c>
      <c r="J115" s="31">
        <f>'03_FBA_Nivel1_Transfer'!H115</f>
        <v>46.7</v>
      </c>
      <c r="K115" s="32">
        <f>'03_FBA_Nivel1_Transfer'!I115</f>
        <v>0</v>
      </c>
      <c r="L115" s="32">
        <f t="shared" si="39"/>
        <v>5.6000000000000001E-2</v>
      </c>
      <c r="M115" s="32">
        <f t="shared" si="40"/>
        <v>0</v>
      </c>
      <c r="N115" s="32">
        <f t="shared" si="41"/>
        <v>0</v>
      </c>
      <c r="O115" s="47">
        <f t="shared" si="42"/>
        <v>5.6000000000000001E-2</v>
      </c>
      <c r="P115" s="41">
        <f t="shared" si="43"/>
        <v>16</v>
      </c>
      <c r="Q115" s="32">
        <f t="shared" si="44"/>
        <v>13.44</v>
      </c>
      <c r="R115" s="31">
        <f t="shared" si="45"/>
        <v>240</v>
      </c>
      <c r="S115" s="6" t="str">
        <f t="shared" si="46"/>
        <v>DISCOUNT 25% NOW</v>
      </c>
      <c r="T115" s="32">
        <f t="shared" si="47"/>
        <v>0.67200000000000004</v>
      </c>
      <c r="U115" s="32">
        <f t="shared" si="48"/>
        <v>0</v>
      </c>
      <c r="V115" s="4" t="str">
        <f t="shared" si="49"/>
        <v>Before 14th 23:59 PT</v>
      </c>
      <c r="W115" s="41">
        <f t="shared" si="50"/>
        <v>16</v>
      </c>
      <c r="X115" s="5" t="str">
        <f t="shared" si="51"/>
        <v>Discount to accelerate FIFO</v>
      </c>
    </row>
    <row r="116" spans="1:24" x14ac:dyDescent="0.3">
      <c r="A116" s="36" t="s">
        <v>527</v>
      </c>
      <c r="B116" s="16" t="s">
        <v>515</v>
      </c>
      <c r="C116" s="4" t="s">
        <v>188</v>
      </c>
      <c r="D116" s="34">
        <v>3.5000000000000001E-3</v>
      </c>
      <c r="E116" s="41">
        <v>0</v>
      </c>
      <c r="F116" s="41">
        <v>0</v>
      </c>
      <c r="G116" s="41">
        <v>0</v>
      </c>
      <c r="H116" s="41">
        <v>0</v>
      </c>
      <c r="I116" s="41">
        <v>0</v>
      </c>
      <c r="J116" s="31">
        <f>'03_FBA_Nivel1_Transfer'!H116</f>
        <v>0</v>
      </c>
      <c r="K116" s="32">
        <f>'03_FBA_Nivel1_Transfer'!I116</f>
        <v>0</v>
      </c>
      <c r="L116" s="32">
        <f t="shared" si="39"/>
        <v>0</v>
      </c>
      <c r="M116" s="32">
        <f t="shared" si="40"/>
        <v>0</v>
      </c>
      <c r="N116" s="32">
        <f t="shared" si="41"/>
        <v>0</v>
      </c>
      <c r="O116" s="47">
        <f t="shared" si="42"/>
        <v>0</v>
      </c>
      <c r="P116" s="41">
        <f t="shared" si="43"/>
        <v>0</v>
      </c>
      <c r="Q116" s="32">
        <f t="shared" si="44"/>
        <v>0</v>
      </c>
      <c r="R116" s="31" t="str">
        <f t="shared" si="45"/>
        <v/>
      </c>
      <c r="S116" s="6" t="str">
        <f t="shared" si="46"/>
        <v>HEALTHY</v>
      </c>
      <c r="T116" s="32">
        <f t="shared" si="47"/>
        <v>0</v>
      </c>
      <c r="U116" s="32">
        <f t="shared" si="48"/>
        <v>0</v>
      </c>
      <c r="V116" s="4" t="str">
        <f t="shared" si="49"/>
        <v>-</v>
      </c>
      <c r="W116" s="41">
        <f t="shared" si="50"/>
        <v>0</v>
      </c>
      <c r="X116" s="5" t="str">
        <f t="shared" si="51"/>
        <v>Clear</v>
      </c>
    </row>
    <row r="117" spans="1:24" x14ac:dyDescent="0.3">
      <c r="A117" s="36" t="s">
        <v>530</v>
      </c>
      <c r="B117" s="16" t="s">
        <v>515</v>
      </c>
      <c r="C117" s="4" t="s">
        <v>179</v>
      </c>
      <c r="D117" s="34">
        <v>3.5000000000000001E-3</v>
      </c>
      <c r="E117" s="41">
        <v>123</v>
      </c>
      <c r="F117" s="41">
        <v>64</v>
      </c>
      <c r="G117" s="41">
        <v>26</v>
      </c>
      <c r="H117" s="41">
        <v>0</v>
      </c>
      <c r="I117" s="41">
        <v>0</v>
      </c>
      <c r="J117" s="31">
        <f>'03_FBA_Nivel1_Transfer'!H117</f>
        <v>63.99</v>
      </c>
      <c r="K117" s="32">
        <f>'03_FBA_Nivel1_Transfer'!I117</f>
        <v>0</v>
      </c>
      <c r="L117" s="32">
        <f t="shared" si="39"/>
        <v>9.0999999999999998E-2</v>
      </c>
      <c r="M117" s="32">
        <f t="shared" si="40"/>
        <v>0</v>
      </c>
      <c r="N117" s="32">
        <f t="shared" si="41"/>
        <v>0</v>
      </c>
      <c r="O117" s="47">
        <f t="shared" si="42"/>
        <v>9.0999999999999998E-2</v>
      </c>
      <c r="P117" s="41">
        <f t="shared" si="43"/>
        <v>26</v>
      </c>
      <c r="Q117" s="32">
        <f t="shared" si="44"/>
        <v>21.84</v>
      </c>
      <c r="R117" s="31">
        <f t="shared" si="45"/>
        <v>240</v>
      </c>
      <c r="S117" s="6" t="str">
        <f t="shared" si="46"/>
        <v>DISCOUNT 25% NOW</v>
      </c>
      <c r="T117" s="32">
        <f t="shared" si="47"/>
        <v>1.0920000000000001</v>
      </c>
      <c r="U117" s="32">
        <f t="shared" si="48"/>
        <v>0</v>
      </c>
      <c r="V117" s="4" t="str">
        <f t="shared" si="49"/>
        <v>Before 14th 23:59 PT</v>
      </c>
      <c r="W117" s="41">
        <f t="shared" si="50"/>
        <v>26</v>
      </c>
      <c r="X117" s="5" t="str">
        <f t="shared" si="51"/>
        <v>Discount to accelerate FIFO</v>
      </c>
    </row>
    <row r="118" spans="1:24" x14ac:dyDescent="0.3">
      <c r="A118" s="36" t="s">
        <v>533</v>
      </c>
      <c r="B118" s="16" t="s">
        <v>515</v>
      </c>
      <c r="C118" s="4" t="s">
        <v>188</v>
      </c>
      <c r="D118" s="34">
        <v>3.5000000000000001E-3</v>
      </c>
      <c r="E118" s="41">
        <v>45</v>
      </c>
      <c r="F118" s="41">
        <v>27</v>
      </c>
      <c r="G118" s="41">
        <v>18</v>
      </c>
      <c r="H118" s="41">
        <v>0</v>
      </c>
      <c r="I118" s="41">
        <v>0</v>
      </c>
      <c r="J118" s="31">
        <f>'03_FBA_Nivel1_Transfer'!H118</f>
        <v>94.12</v>
      </c>
      <c r="K118" s="32">
        <f>'03_FBA_Nivel1_Transfer'!I118</f>
        <v>0</v>
      </c>
      <c r="L118" s="32">
        <f t="shared" si="39"/>
        <v>6.3E-2</v>
      </c>
      <c r="M118" s="32">
        <f t="shared" si="40"/>
        <v>0</v>
      </c>
      <c r="N118" s="32">
        <f t="shared" si="41"/>
        <v>0</v>
      </c>
      <c r="O118" s="47">
        <f t="shared" si="42"/>
        <v>6.3E-2</v>
      </c>
      <c r="P118" s="41">
        <f t="shared" si="43"/>
        <v>18</v>
      </c>
      <c r="Q118" s="32">
        <f t="shared" si="44"/>
        <v>15.12</v>
      </c>
      <c r="R118" s="31">
        <f t="shared" si="45"/>
        <v>240</v>
      </c>
      <c r="S118" s="6" t="str">
        <f t="shared" si="46"/>
        <v>DISCOUNT 25% NOW</v>
      </c>
      <c r="T118" s="32">
        <f t="shared" si="47"/>
        <v>0.75600000000000001</v>
      </c>
      <c r="U118" s="32">
        <f t="shared" si="48"/>
        <v>0</v>
      </c>
      <c r="V118" s="4" t="str">
        <f t="shared" si="49"/>
        <v>Before 14th 23:59 PT</v>
      </c>
      <c r="W118" s="41">
        <f t="shared" si="50"/>
        <v>18</v>
      </c>
      <c r="X118" s="5" t="str">
        <f t="shared" si="51"/>
        <v>Discount to accelerate FIFO</v>
      </c>
    </row>
    <row r="119" spans="1:24" x14ac:dyDescent="0.3">
      <c r="A119" s="36" t="s">
        <v>536</v>
      </c>
      <c r="B119" s="16" t="s">
        <v>515</v>
      </c>
      <c r="C119" s="4" t="s">
        <v>188</v>
      </c>
      <c r="D119" s="34">
        <v>3.5000000000000001E-3</v>
      </c>
      <c r="E119" s="41">
        <v>35</v>
      </c>
      <c r="F119" s="41">
        <v>21</v>
      </c>
      <c r="G119" s="41">
        <v>14</v>
      </c>
      <c r="H119" s="41">
        <v>0</v>
      </c>
      <c r="I119" s="41">
        <v>0</v>
      </c>
      <c r="J119" s="31">
        <f>'03_FBA_Nivel1_Transfer'!H119</f>
        <v>61.29</v>
      </c>
      <c r="K119" s="32">
        <f>'03_FBA_Nivel1_Transfer'!I119</f>
        <v>0</v>
      </c>
      <c r="L119" s="32">
        <f t="shared" si="39"/>
        <v>4.9000000000000002E-2</v>
      </c>
      <c r="M119" s="32">
        <f t="shared" si="40"/>
        <v>0</v>
      </c>
      <c r="N119" s="32">
        <f t="shared" si="41"/>
        <v>0</v>
      </c>
      <c r="O119" s="47">
        <f t="shared" si="42"/>
        <v>4.9000000000000002E-2</v>
      </c>
      <c r="P119" s="41">
        <f t="shared" si="43"/>
        <v>14</v>
      </c>
      <c r="Q119" s="32">
        <f t="shared" si="44"/>
        <v>11.76</v>
      </c>
      <c r="R119" s="31">
        <f t="shared" si="45"/>
        <v>240</v>
      </c>
      <c r="S119" s="6" t="str">
        <f t="shared" si="46"/>
        <v>DISCOUNT 25% NOW</v>
      </c>
      <c r="T119" s="32">
        <f t="shared" si="47"/>
        <v>0.58800000000000008</v>
      </c>
      <c r="U119" s="32">
        <f t="shared" si="48"/>
        <v>0</v>
      </c>
      <c r="V119" s="4" t="str">
        <f t="shared" si="49"/>
        <v>Before 14th 23:59 PT</v>
      </c>
      <c r="W119" s="41">
        <f t="shared" si="50"/>
        <v>14</v>
      </c>
      <c r="X119" s="5" t="str">
        <f t="shared" si="51"/>
        <v>Discount to accelerate FIFO</v>
      </c>
    </row>
    <row r="120" spans="1:24" x14ac:dyDescent="0.3">
      <c r="A120" s="36" t="s">
        <v>539</v>
      </c>
      <c r="B120" s="16" t="s">
        <v>515</v>
      </c>
      <c r="C120" s="4" t="s">
        <v>188</v>
      </c>
      <c r="D120" s="34">
        <v>3.5000000000000001E-3</v>
      </c>
      <c r="E120" s="41">
        <v>23</v>
      </c>
      <c r="F120" s="41">
        <v>13</v>
      </c>
      <c r="G120" s="41">
        <v>9</v>
      </c>
      <c r="H120" s="41">
        <v>0</v>
      </c>
      <c r="I120" s="41">
        <v>0</v>
      </c>
      <c r="J120" s="31">
        <f>'03_FBA_Nivel1_Transfer'!H120</f>
        <v>63.43</v>
      </c>
      <c r="K120" s="32">
        <f>'03_FBA_Nivel1_Transfer'!I120</f>
        <v>0</v>
      </c>
      <c r="L120" s="32">
        <f t="shared" si="39"/>
        <v>3.15E-2</v>
      </c>
      <c r="M120" s="32">
        <f t="shared" si="40"/>
        <v>0</v>
      </c>
      <c r="N120" s="32">
        <f t="shared" si="41"/>
        <v>0</v>
      </c>
      <c r="O120" s="47">
        <f t="shared" si="42"/>
        <v>3.15E-2</v>
      </c>
      <c r="P120" s="41">
        <f t="shared" si="43"/>
        <v>9</v>
      </c>
      <c r="Q120" s="32">
        <f t="shared" si="44"/>
        <v>7.56</v>
      </c>
      <c r="R120" s="31">
        <f t="shared" si="45"/>
        <v>240</v>
      </c>
      <c r="S120" s="6" t="str">
        <f t="shared" si="46"/>
        <v>DISCOUNT 25% NOW</v>
      </c>
      <c r="T120" s="32">
        <f t="shared" si="47"/>
        <v>0.378</v>
      </c>
      <c r="U120" s="32">
        <f t="shared" si="48"/>
        <v>0</v>
      </c>
      <c r="V120" s="4" t="str">
        <f t="shared" si="49"/>
        <v>Before 14th 23:59 PT</v>
      </c>
      <c r="W120" s="41">
        <f t="shared" si="50"/>
        <v>9</v>
      </c>
      <c r="X120" s="5" t="str">
        <f t="shared" si="51"/>
        <v>Discount to accelerate FIFO</v>
      </c>
    </row>
    <row r="121" spans="1:24" x14ac:dyDescent="0.3">
      <c r="A121" s="36" t="s">
        <v>542</v>
      </c>
      <c r="B121" s="16" t="s">
        <v>515</v>
      </c>
      <c r="C121" s="4" t="s">
        <v>188</v>
      </c>
      <c r="D121" s="34">
        <v>3.5000000000000001E-3</v>
      </c>
      <c r="E121" s="41">
        <v>59</v>
      </c>
      <c r="F121" s="41">
        <v>35</v>
      </c>
      <c r="G121" s="41">
        <v>23</v>
      </c>
      <c r="H121" s="41">
        <v>0</v>
      </c>
      <c r="I121" s="41">
        <v>0</v>
      </c>
      <c r="J121" s="31">
        <f>'03_FBA_Nivel1_Transfer'!H121</f>
        <v>66.12</v>
      </c>
      <c r="K121" s="32">
        <f>'03_FBA_Nivel1_Transfer'!I121</f>
        <v>0</v>
      </c>
      <c r="L121" s="32">
        <f t="shared" si="39"/>
        <v>8.0500000000000002E-2</v>
      </c>
      <c r="M121" s="32">
        <f t="shared" si="40"/>
        <v>0</v>
      </c>
      <c r="N121" s="32">
        <f t="shared" si="41"/>
        <v>0</v>
      </c>
      <c r="O121" s="47">
        <f t="shared" si="42"/>
        <v>8.0500000000000002E-2</v>
      </c>
      <c r="P121" s="41">
        <f t="shared" si="43"/>
        <v>23</v>
      </c>
      <c r="Q121" s="32">
        <f t="shared" si="44"/>
        <v>19.32</v>
      </c>
      <c r="R121" s="31">
        <f t="shared" si="45"/>
        <v>240</v>
      </c>
      <c r="S121" s="6" t="str">
        <f t="shared" si="46"/>
        <v>DISCOUNT 25% NOW</v>
      </c>
      <c r="T121" s="32">
        <f t="shared" si="47"/>
        <v>0.96599999999999997</v>
      </c>
      <c r="U121" s="32">
        <f t="shared" si="48"/>
        <v>0</v>
      </c>
      <c r="V121" s="4" t="str">
        <f t="shared" si="49"/>
        <v>Before 14th 23:59 PT</v>
      </c>
      <c r="W121" s="41">
        <f t="shared" si="50"/>
        <v>23</v>
      </c>
      <c r="X121" s="5" t="str">
        <f t="shared" si="51"/>
        <v>Discount to accelerate FIFO</v>
      </c>
    </row>
    <row r="122" spans="1:24" x14ac:dyDescent="0.3">
      <c r="A122" s="36" t="s">
        <v>545</v>
      </c>
      <c r="B122" s="16" t="s">
        <v>515</v>
      </c>
      <c r="C122" s="4" t="s">
        <v>188</v>
      </c>
      <c r="D122" s="34">
        <v>3.5000000000000001E-3</v>
      </c>
      <c r="E122" s="41">
        <v>0</v>
      </c>
      <c r="F122" s="41">
        <v>0</v>
      </c>
      <c r="G122" s="41">
        <v>0</v>
      </c>
      <c r="H122" s="41">
        <v>0</v>
      </c>
      <c r="I122" s="41">
        <v>0</v>
      </c>
      <c r="J122" s="31">
        <f>'03_FBA_Nivel1_Transfer'!H122</f>
        <v>35.49</v>
      </c>
      <c r="K122" s="32">
        <f>'03_FBA_Nivel1_Transfer'!I122</f>
        <v>0</v>
      </c>
      <c r="L122" s="32">
        <f t="shared" si="39"/>
        <v>0</v>
      </c>
      <c r="M122" s="32">
        <f t="shared" si="40"/>
        <v>0</v>
      </c>
      <c r="N122" s="32">
        <f t="shared" si="41"/>
        <v>0</v>
      </c>
      <c r="O122" s="47">
        <f t="shared" si="42"/>
        <v>0</v>
      </c>
      <c r="P122" s="41">
        <f t="shared" si="43"/>
        <v>0</v>
      </c>
      <c r="Q122" s="32">
        <f t="shared" si="44"/>
        <v>0</v>
      </c>
      <c r="R122" s="31" t="str">
        <f t="shared" si="45"/>
        <v/>
      </c>
      <c r="S122" s="6" t="str">
        <f t="shared" si="46"/>
        <v>HEALTHY</v>
      </c>
      <c r="T122" s="32">
        <f t="shared" si="47"/>
        <v>0</v>
      </c>
      <c r="U122" s="32">
        <f t="shared" si="48"/>
        <v>0</v>
      </c>
      <c r="V122" s="4" t="str">
        <f t="shared" si="49"/>
        <v>-</v>
      </c>
      <c r="W122" s="41">
        <f t="shared" si="50"/>
        <v>0</v>
      </c>
      <c r="X122" s="5" t="str">
        <f t="shared" si="51"/>
        <v>Clear</v>
      </c>
    </row>
    <row r="123" spans="1:24" x14ac:dyDescent="0.3">
      <c r="A123" s="36" t="s">
        <v>548</v>
      </c>
      <c r="B123" s="16" t="s">
        <v>515</v>
      </c>
      <c r="C123" s="4" t="s">
        <v>188</v>
      </c>
      <c r="D123" s="34">
        <v>3.5000000000000001E-3</v>
      </c>
      <c r="E123" s="41">
        <v>0</v>
      </c>
      <c r="F123" s="41">
        <v>0</v>
      </c>
      <c r="G123" s="41">
        <v>0</v>
      </c>
      <c r="H123" s="41">
        <v>0</v>
      </c>
      <c r="I123" s="41">
        <v>0</v>
      </c>
      <c r="J123" s="31">
        <f>'03_FBA_Nivel1_Transfer'!H123</f>
        <v>23.17</v>
      </c>
      <c r="K123" s="32">
        <f>'03_FBA_Nivel1_Transfer'!I123</f>
        <v>0</v>
      </c>
      <c r="L123" s="32">
        <f t="shared" si="39"/>
        <v>0</v>
      </c>
      <c r="M123" s="32">
        <f t="shared" si="40"/>
        <v>0</v>
      </c>
      <c r="N123" s="32">
        <f t="shared" si="41"/>
        <v>0</v>
      </c>
      <c r="O123" s="47">
        <f t="shared" si="42"/>
        <v>0</v>
      </c>
      <c r="P123" s="41">
        <f t="shared" si="43"/>
        <v>0</v>
      </c>
      <c r="Q123" s="32">
        <f t="shared" si="44"/>
        <v>0</v>
      </c>
      <c r="R123" s="31" t="str">
        <f t="shared" si="45"/>
        <v/>
      </c>
      <c r="S123" s="6" t="str">
        <f t="shared" si="46"/>
        <v>HEALTHY</v>
      </c>
      <c r="T123" s="32">
        <f t="shared" si="47"/>
        <v>0</v>
      </c>
      <c r="U123" s="32">
        <f t="shared" si="48"/>
        <v>0</v>
      </c>
      <c r="V123" s="4" t="str">
        <f t="shared" si="49"/>
        <v>-</v>
      </c>
      <c r="W123" s="41">
        <f t="shared" si="50"/>
        <v>0</v>
      </c>
      <c r="X123" s="5" t="str">
        <f t="shared" si="51"/>
        <v>Clear</v>
      </c>
    </row>
    <row r="124" spans="1:24" x14ac:dyDescent="0.3">
      <c r="A124" s="36" t="s">
        <v>551</v>
      </c>
      <c r="B124" s="16" t="s">
        <v>515</v>
      </c>
      <c r="C124" s="4" t="s">
        <v>188</v>
      </c>
      <c r="D124" s="34">
        <v>3.5000000000000001E-3</v>
      </c>
      <c r="E124" s="41">
        <v>0</v>
      </c>
      <c r="F124" s="41">
        <v>0</v>
      </c>
      <c r="G124" s="41">
        <v>0</v>
      </c>
      <c r="H124" s="41">
        <v>0</v>
      </c>
      <c r="I124" s="41">
        <v>0</v>
      </c>
      <c r="J124" s="31">
        <f>'03_FBA_Nivel1_Transfer'!H124</f>
        <v>0</v>
      </c>
      <c r="K124" s="32">
        <f>'03_FBA_Nivel1_Transfer'!I124</f>
        <v>0</v>
      </c>
      <c r="L124" s="32">
        <f t="shared" si="39"/>
        <v>0</v>
      </c>
      <c r="M124" s="32">
        <f t="shared" si="40"/>
        <v>0</v>
      </c>
      <c r="N124" s="32">
        <f t="shared" si="41"/>
        <v>0</v>
      </c>
      <c r="O124" s="47">
        <f t="shared" si="42"/>
        <v>0</v>
      </c>
      <c r="P124" s="41">
        <f t="shared" si="43"/>
        <v>0</v>
      </c>
      <c r="Q124" s="32">
        <f t="shared" si="44"/>
        <v>0</v>
      </c>
      <c r="R124" s="31" t="str">
        <f t="shared" si="45"/>
        <v/>
      </c>
      <c r="S124" s="6" t="str">
        <f t="shared" si="46"/>
        <v>HEALTHY</v>
      </c>
      <c r="T124" s="32">
        <f t="shared" si="47"/>
        <v>0</v>
      </c>
      <c r="U124" s="32">
        <f t="shared" si="48"/>
        <v>0</v>
      </c>
      <c r="V124" s="4" t="str">
        <f t="shared" si="49"/>
        <v>-</v>
      </c>
      <c r="W124" s="41">
        <f t="shared" si="50"/>
        <v>0</v>
      </c>
      <c r="X124" s="5" t="str">
        <f t="shared" si="51"/>
        <v>Clear</v>
      </c>
    </row>
    <row r="125" spans="1:24" x14ac:dyDescent="0.3">
      <c r="A125" s="36" t="s">
        <v>554</v>
      </c>
      <c r="B125" s="16" t="s">
        <v>515</v>
      </c>
      <c r="C125" s="4" t="s">
        <v>184</v>
      </c>
      <c r="D125" s="34">
        <v>3.5000000000000001E-3</v>
      </c>
      <c r="E125" s="41">
        <v>77</v>
      </c>
      <c r="F125" s="41">
        <v>40</v>
      </c>
      <c r="G125" s="41">
        <v>16</v>
      </c>
      <c r="H125" s="41">
        <v>0</v>
      </c>
      <c r="I125" s="41">
        <v>0</v>
      </c>
      <c r="J125" s="31">
        <f>'03_FBA_Nivel1_Transfer'!H125</f>
        <v>45.06</v>
      </c>
      <c r="K125" s="32">
        <f>'03_FBA_Nivel1_Transfer'!I125</f>
        <v>0</v>
      </c>
      <c r="L125" s="32">
        <f t="shared" si="39"/>
        <v>5.6000000000000001E-2</v>
      </c>
      <c r="M125" s="32">
        <f t="shared" si="40"/>
        <v>0</v>
      </c>
      <c r="N125" s="32">
        <f t="shared" si="41"/>
        <v>0</v>
      </c>
      <c r="O125" s="47">
        <f t="shared" si="42"/>
        <v>5.6000000000000001E-2</v>
      </c>
      <c r="P125" s="41">
        <f t="shared" si="43"/>
        <v>16</v>
      </c>
      <c r="Q125" s="32">
        <f t="shared" si="44"/>
        <v>13.44</v>
      </c>
      <c r="R125" s="31">
        <f t="shared" si="45"/>
        <v>240</v>
      </c>
      <c r="S125" s="6" t="str">
        <f t="shared" si="46"/>
        <v>DISCOUNT 25% NOW</v>
      </c>
      <c r="T125" s="32">
        <f t="shared" si="47"/>
        <v>0.67200000000000004</v>
      </c>
      <c r="U125" s="32">
        <f t="shared" si="48"/>
        <v>0</v>
      </c>
      <c r="V125" s="4" t="str">
        <f t="shared" si="49"/>
        <v>Before 14th 23:59 PT</v>
      </c>
      <c r="W125" s="41">
        <f t="shared" si="50"/>
        <v>16</v>
      </c>
      <c r="X125" s="5" t="str">
        <f t="shared" si="51"/>
        <v>Discount to accelerate FIFO</v>
      </c>
    </row>
    <row r="126" spans="1:24" x14ac:dyDescent="0.3">
      <c r="A126" s="36" t="s">
        <v>558</v>
      </c>
      <c r="B126" s="16" t="s">
        <v>515</v>
      </c>
      <c r="C126" s="4" t="s">
        <v>179</v>
      </c>
      <c r="D126" s="34">
        <v>3.5000000000000001E-3</v>
      </c>
      <c r="E126" s="41">
        <v>51</v>
      </c>
      <c r="F126" s="41">
        <v>27</v>
      </c>
      <c r="G126" s="41">
        <v>11</v>
      </c>
      <c r="H126" s="41">
        <v>0</v>
      </c>
      <c r="I126" s="41">
        <v>0</v>
      </c>
      <c r="J126" s="31">
        <f>'03_FBA_Nivel1_Transfer'!H126</f>
        <v>43.57</v>
      </c>
      <c r="K126" s="32">
        <f>'03_FBA_Nivel1_Transfer'!I126</f>
        <v>0</v>
      </c>
      <c r="L126" s="32">
        <f t="shared" si="39"/>
        <v>3.85E-2</v>
      </c>
      <c r="M126" s="32">
        <f t="shared" si="40"/>
        <v>0</v>
      </c>
      <c r="N126" s="32">
        <f t="shared" si="41"/>
        <v>0</v>
      </c>
      <c r="O126" s="47">
        <f t="shared" si="42"/>
        <v>3.85E-2</v>
      </c>
      <c r="P126" s="41">
        <f t="shared" si="43"/>
        <v>11</v>
      </c>
      <c r="Q126" s="32">
        <f t="shared" si="44"/>
        <v>9.24</v>
      </c>
      <c r="R126" s="31">
        <f t="shared" si="45"/>
        <v>240</v>
      </c>
      <c r="S126" s="6" t="str">
        <f t="shared" si="46"/>
        <v>DISCOUNT 25% NOW</v>
      </c>
      <c r="T126" s="32">
        <f t="shared" si="47"/>
        <v>0.46199999999999997</v>
      </c>
      <c r="U126" s="32">
        <f t="shared" si="48"/>
        <v>0</v>
      </c>
      <c r="V126" s="4" t="str">
        <f t="shared" si="49"/>
        <v>Before 14th 23:59 PT</v>
      </c>
      <c r="W126" s="41">
        <f t="shared" si="50"/>
        <v>11</v>
      </c>
      <c r="X126" s="5" t="str">
        <f t="shared" si="51"/>
        <v>Discount to accelerate FIFO</v>
      </c>
    </row>
    <row r="127" spans="1:24" x14ac:dyDescent="0.3">
      <c r="A127" s="36" t="s">
        <v>561</v>
      </c>
      <c r="B127" s="16" t="s">
        <v>515</v>
      </c>
      <c r="C127" s="4" t="s">
        <v>179</v>
      </c>
      <c r="D127" s="34">
        <v>3.5000000000000001E-3</v>
      </c>
      <c r="E127" s="41">
        <v>144</v>
      </c>
      <c r="F127" s="41">
        <v>75</v>
      </c>
      <c r="G127" s="41">
        <v>30</v>
      </c>
      <c r="H127" s="41">
        <v>0</v>
      </c>
      <c r="I127" s="41">
        <v>0</v>
      </c>
      <c r="J127" s="31">
        <f>'03_FBA_Nivel1_Transfer'!H127</f>
        <v>51.58</v>
      </c>
      <c r="K127" s="32">
        <f>'03_FBA_Nivel1_Transfer'!I127</f>
        <v>0</v>
      </c>
      <c r="L127" s="32">
        <f t="shared" si="39"/>
        <v>0.105</v>
      </c>
      <c r="M127" s="32">
        <f t="shared" si="40"/>
        <v>0</v>
      </c>
      <c r="N127" s="32">
        <f t="shared" si="41"/>
        <v>0</v>
      </c>
      <c r="O127" s="47">
        <f t="shared" si="42"/>
        <v>0.105</v>
      </c>
      <c r="P127" s="41">
        <f t="shared" si="43"/>
        <v>30</v>
      </c>
      <c r="Q127" s="32">
        <f t="shared" si="44"/>
        <v>25.2</v>
      </c>
      <c r="R127" s="31">
        <f t="shared" si="45"/>
        <v>240</v>
      </c>
      <c r="S127" s="6" t="str">
        <f t="shared" si="46"/>
        <v>DISCOUNT 25% NOW</v>
      </c>
      <c r="T127" s="32">
        <f t="shared" si="47"/>
        <v>1.26</v>
      </c>
      <c r="U127" s="32">
        <f t="shared" si="48"/>
        <v>0</v>
      </c>
      <c r="V127" s="4" t="str">
        <f t="shared" si="49"/>
        <v>Before 14th 23:59 PT</v>
      </c>
      <c r="W127" s="41">
        <f t="shared" si="50"/>
        <v>30</v>
      </c>
      <c r="X127" s="5" t="str">
        <f t="shared" si="51"/>
        <v>Discount to accelerate FIFO</v>
      </c>
    </row>
    <row r="128" spans="1:24" x14ac:dyDescent="0.3">
      <c r="A128" s="36" t="s">
        <v>564</v>
      </c>
      <c r="B128" s="16" t="s">
        <v>515</v>
      </c>
      <c r="C128" s="4" t="s">
        <v>188</v>
      </c>
      <c r="D128" s="34">
        <v>3.5000000000000001E-3</v>
      </c>
      <c r="E128" s="41">
        <v>41</v>
      </c>
      <c r="F128" s="41">
        <v>25</v>
      </c>
      <c r="G128" s="41">
        <v>17</v>
      </c>
      <c r="H128" s="41">
        <v>0</v>
      </c>
      <c r="I128" s="41">
        <v>0</v>
      </c>
      <c r="J128" s="31">
        <f>'03_FBA_Nivel1_Transfer'!H128</f>
        <v>105.75</v>
      </c>
      <c r="K128" s="32">
        <f>'03_FBA_Nivel1_Transfer'!I128</f>
        <v>0</v>
      </c>
      <c r="L128" s="32">
        <f t="shared" si="39"/>
        <v>5.9500000000000004E-2</v>
      </c>
      <c r="M128" s="32">
        <f t="shared" si="40"/>
        <v>0</v>
      </c>
      <c r="N128" s="32">
        <f t="shared" si="41"/>
        <v>0</v>
      </c>
      <c r="O128" s="47">
        <f t="shared" si="42"/>
        <v>5.9500000000000004E-2</v>
      </c>
      <c r="P128" s="41">
        <f t="shared" si="43"/>
        <v>17</v>
      </c>
      <c r="Q128" s="32">
        <f t="shared" si="44"/>
        <v>14.28</v>
      </c>
      <c r="R128" s="31">
        <f t="shared" si="45"/>
        <v>239.99999999999997</v>
      </c>
      <c r="S128" s="6" t="str">
        <f t="shared" si="46"/>
        <v>DISCOUNT 25% NOW</v>
      </c>
      <c r="T128" s="32">
        <f t="shared" si="47"/>
        <v>0.71400000000000008</v>
      </c>
      <c r="U128" s="32">
        <f t="shared" si="48"/>
        <v>0</v>
      </c>
      <c r="V128" s="4" t="str">
        <f t="shared" si="49"/>
        <v>Before 14th 23:59 PT</v>
      </c>
      <c r="W128" s="41">
        <f t="shared" si="50"/>
        <v>17</v>
      </c>
      <c r="X128" s="5" t="str">
        <f t="shared" si="51"/>
        <v>Discount to accelerate FIFO</v>
      </c>
    </row>
    <row r="129" spans="1:24" x14ac:dyDescent="0.3">
      <c r="A129" s="36" t="s">
        <v>567</v>
      </c>
      <c r="B129" s="16" t="s">
        <v>515</v>
      </c>
      <c r="C129" s="4" t="s">
        <v>188</v>
      </c>
      <c r="D129" s="34">
        <v>3.5000000000000001E-3</v>
      </c>
      <c r="E129" s="41">
        <v>46</v>
      </c>
      <c r="F129" s="41">
        <v>28</v>
      </c>
      <c r="G129" s="41">
        <v>19</v>
      </c>
      <c r="H129" s="41">
        <v>0</v>
      </c>
      <c r="I129" s="41">
        <v>0</v>
      </c>
      <c r="J129" s="31">
        <f>'03_FBA_Nivel1_Transfer'!H129</f>
        <v>64.5</v>
      </c>
      <c r="K129" s="32">
        <f>'03_FBA_Nivel1_Transfer'!I129</f>
        <v>0</v>
      </c>
      <c r="L129" s="32">
        <f t="shared" si="39"/>
        <v>6.6500000000000004E-2</v>
      </c>
      <c r="M129" s="32">
        <f t="shared" si="40"/>
        <v>0</v>
      </c>
      <c r="N129" s="32">
        <f t="shared" si="41"/>
        <v>0</v>
      </c>
      <c r="O129" s="47">
        <f t="shared" si="42"/>
        <v>6.6500000000000004E-2</v>
      </c>
      <c r="P129" s="41">
        <f t="shared" si="43"/>
        <v>19</v>
      </c>
      <c r="Q129" s="32">
        <f t="shared" si="44"/>
        <v>15.959999999999999</v>
      </c>
      <c r="R129" s="31">
        <f t="shared" si="45"/>
        <v>239.99999999999997</v>
      </c>
      <c r="S129" s="6" t="str">
        <f t="shared" si="46"/>
        <v>DISCOUNT 25% NOW</v>
      </c>
      <c r="T129" s="32">
        <f t="shared" si="47"/>
        <v>0.79800000000000004</v>
      </c>
      <c r="U129" s="32">
        <f t="shared" si="48"/>
        <v>0</v>
      </c>
      <c r="V129" s="4" t="str">
        <f t="shared" si="49"/>
        <v>Before 14th 23:59 PT</v>
      </c>
      <c r="W129" s="41">
        <f t="shared" si="50"/>
        <v>19</v>
      </c>
      <c r="X129" s="5" t="str">
        <f t="shared" si="51"/>
        <v>Discount to accelerate FIFO</v>
      </c>
    </row>
    <row r="130" spans="1:24" x14ac:dyDescent="0.3">
      <c r="A130" s="36" t="s">
        <v>570</v>
      </c>
      <c r="B130" s="16" t="s">
        <v>515</v>
      </c>
      <c r="C130" s="4" t="s">
        <v>188</v>
      </c>
      <c r="D130" s="34">
        <v>3.5000000000000001E-3</v>
      </c>
      <c r="E130" s="41">
        <v>0</v>
      </c>
      <c r="F130" s="41">
        <v>0</v>
      </c>
      <c r="G130" s="41">
        <v>0</v>
      </c>
      <c r="H130" s="41">
        <v>0</v>
      </c>
      <c r="I130" s="41">
        <v>0</v>
      </c>
      <c r="J130" s="31">
        <f>'03_FBA_Nivel1_Transfer'!H130</f>
        <v>41.37</v>
      </c>
      <c r="K130" s="32">
        <f>'03_FBA_Nivel1_Transfer'!I130</f>
        <v>0</v>
      </c>
      <c r="L130" s="32">
        <f t="shared" si="39"/>
        <v>0</v>
      </c>
      <c r="M130" s="32">
        <f t="shared" si="40"/>
        <v>0</v>
      </c>
      <c r="N130" s="32">
        <f t="shared" si="41"/>
        <v>0</v>
      </c>
      <c r="O130" s="47">
        <f t="shared" si="42"/>
        <v>0</v>
      </c>
      <c r="P130" s="41">
        <f t="shared" si="43"/>
        <v>0</v>
      </c>
      <c r="Q130" s="32">
        <f t="shared" si="44"/>
        <v>0</v>
      </c>
      <c r="R130" s="31" t="str">
        <f t="shared" si="45"/>
        <v/>
      </c>
      <c r="S130" s="6" t="str">
        <f t="shared" si="46"/>
        <v>HEALTHY</v>
      </c>
      <c r="T130" s="32">
        <f t="shared" si="47"/>
        <v>0</v>
      </c>
      <c r="U130" s="32">
        <f t="shared" si="48"/>
        <v>0</v>
      </c>
      <c r="V130" s="4" t="str">
        <f t="shared" si="49"/>
        <v>-</v>
      </c>
      <c r="W130" s="41">
        <f t="shared" si="50"/>
        <v>0</v>
      </c>
      <c r="X130" s="5" t="str">
        <f t="shared" si="51"/>
        <v>Clear</v>
      </c>
    </row>
    <row r="131" spans="1:24" x14ac:dyDescent="0.3">
      <c r="A131" s="36" t="s">
        <v>573</v>
      </c>
      <c r="B131" s="16" t="s">
        <v>515</v>
      </c>
      <c r="C131" s="4" t="s">
        <v>188</v>
      </c>
      <c r="D131" s="34">
        <v>3.5000000000000001E-3</v>
      </c>
      <c r="E131" s="41">
        <v>36</v>
      </c>
      <c r="F131" s="41">
        <v>21</v>
      </c>
      <c r="G131" s="41">
        <v>14</v>
      </c>
      <c r="H131" s="41">
        <v>0</v>
      </c>
      <c r="I131" s="41">
        <v>0</v>
      </c>
      <c r="J131" s="31">
        <f>'03_FBA_Nivel1_Transfer'!H131</f>
        <v>80.75</v>
      </c>
      <c r="K131" s="32">
        <f>'03_FBA_Nivel1_Transfer'!I131</f>
        <v>0</v>
      </c>
      <c r="L131" s="32">
        <f t="shared" si="39"/>
        <v>4.9000000000000002E-2</v>
      </c>
      <c r="M131" s="32">
        <f t="shared" si="40"/>
        <v>0</v>
      </c>
      <c r="N131" s="32">
        <f t="shared" si="41"/>
        <v>0</v>
      </c>
      <c r="O131" s="47">
        <f t="shared" si="42"/>
        <v>4.9000000000000002E-2</v>
      </c>
      <c r="P131" s="41">
        <f t="shared" si="43"/>
        <v>14</v>
      </c>
      <c r="Q131" s="32">
        <f t="shared" si="44"/>
        <v>11.76</v>
      </c>
      <c r="R131" s="31">
        <f t="shared" si="45"/>
        <v>240</v>
      </c>
      <c r="S131" s="6" t="str">
        <f t="shared" si="46"/>
        <v>DISCOUNT 25% NOW</v>
      </c>
      <c r="T131" s="32">
        <f t="shared" si="47"/>
        <v>0.58800000000000008</v>
      </c>
      <c r="U131" s="32">
        <f t="shared" si="48"/>
        <v>0</v>
      </c>
      <c r="V131" s="4" t="str">
        <f t="shared" si="49"/>
        <v>Before 14th 23:59 PT</v>
      </c>
      <c r="W131" s="41">
        <f t="shared" si="50"/>
        <v>14</v>
      </c>
      <c r="X131" s="5" t="str">
        <f t="shared" si="51"/>
        <v>Discount to accelerate FIFO</v>
      </c>
    </row>
    <row r="132" spans="1:24" x14ac:dyDescent="0.3">
      <c r="A132" s="36" t="s">
        <v>576</v>
      </c>
      <c r="B132" s="16" t="s">
        <v>515</v>
      </c>
      <c r="C132" s="4" t="s">
        <v>188</v>
      </c>
      <c r="D132" s="34">
        <v>3.5000000000000001E-3</v>
      </c>
      <c r="E132" s="41">
        <v>0</v>
      </c>
      <c r="F132" s="41">
        <v>0</v>
      </c>
      <c r="G132" s="41">
        <v>0</v>
      </c>
      <c r="H132" s="41">
        <v>0</v>
      </c>
      <c r="I132" s="41">
        <v>0</v>
      </c>
      <c r="J132" s="31">
        <f>'03_FBA_Nivel1_Transfer'!H132</f>
        <v>0</v>
      </c>
      <c r="K132" s="32">
        <f>'03_FBA_Nivel1_Transfer'!I132</f>
        <v>0</v>
      </c>
      <c r="L132" s="32">
        <f t="shared" si="39"/>
        <v>0</v>
      </c>
      <c r="M132" s="32">
        <f t="shared" si="40"/>
        <v>0</v>
      </c>
      <c r="N132" s="32">
        <f t="shared" si="41"/>
        <v>0</v>
      </c>
      <c r="O132" s="47">
        <f t="shared" si="42"/>
        <v>0</v>
      </c>
      <c r="P132" s="41">
        <f t="shared" si="43"/>
        <v>0</v>
      </c>
      <c r="Q132" s="32">
        <f t="shared" si="44"/>
        <v>0</v>
      </c>
      <c r="R132" s="31" t="str">
        <f t="shared" si="45"/>
        <v/>
      </c>
      <c r="S132" s="6" t="str">
        <f t="shared" si="46"/>
        <v>HEALTHY</v>
      </c>
      <c r="T132" s="32">
        <f t="shared" si="47"/>
        <v>0</v>
      </c>
      <c r="U132" s="32">
        <f t="shared" si="48"/>
        <v>0</v>
      </c>
      <c r="V132" s="4" t="str">
        <f t="shared" si="49"/>
        <v>-</v>
      </c>
      <c r="W132" s="41">
        <f t="shared" si="50"/>
        <v>0</v>
      </c>
      <c r="X132" s="5" t="str">
        <f t="shared" si="51"/>
        <v>Clear</v>
      </c>
    </row>
    <row r="133" spans="1:24" x14ac:dyDescent="0.3">
      <c r="A133" s="36" t="s">
        <v>579</v>
      </c>
      <c r="B133" s="16" t="s">
        <v>515</v>
      </c>
      <c r="C133" s="4" t="s">
        <v>188</v>
      </c>
      <c r="D133" s="34">
        <v>3.5000000000000001E-3</v>
      </c>
      <c r="E133" s="41">
        <v>24</v>
      </c>
      <c r="F133" s="41">
        <v>14</v>
      </c>
      <c r="G133" s="41">
        <v>10</v>
      </c>
      <c r="H133" s="41">
        <v>0</v>
      </c>
      <c r="I133" s="41">
        <v>0</v>
      </c>
      <c r="J133" s="31">
        <f>'03_FBA_Nivel1_Transfer'!H133</f>
        <v>91.53</v>
      </c>
      <c r="K133" s="32">
        <f>'03_FBA_Nivel1_Transfer'!I133</f>
        <v>0</v>
      </c>
      <c r="L133" s="32">
        <f t="shared" ref="L133:L164" si="52">G133*D133*1</f>
        <v>3.5000000000000003E-2</v>
      </c>
      <c r="M133" s="32">
        <f t="shared" ref="M133:M164" si="53">H133*D133*5.45</f>
        <v>0</v>
      </c>
      <c r="N133" s="32">
        <f t="shared" ref="N133:N164" si="54">I133*MAX(D133*6.9,0.3)</f>
        <v>0</v>
      </c>
      <c r="O133" s="47">
        <f t="shared" ref="O133:O164" si="55">SUM(L133:N133)</f>
        <v>3.5000000000000003E-2</v>
      </c>
      <c r="P133" s="41">
        <f t="shared" ref="P133:P164" si="56">SUM(G133:I133)</f>
        <v>10</v>
      </c>
      <c r="Q133" s="32">
        <f t="shared" ref="Q133:Q164" si="57">P133*Removal_Fee</f>
        <v>8.4</v>
      </c>
      <c r="R133" s="31">
        <f t="shared" ref="R133:R164" si="58">IF(O133&gt;0,Q133/O133,"")</f>
        <v>240</v>
      </c>
      <c r="S133" s="6" t="str">
        <f t="shared" ref="S133:S164" si="59">IF(AND(P133&gt;0,ISNUMBER(R133),R133&lt;=AIS_Payback),"EXECUTE REMOVAL",IF(O133&gt;0,"DISCOUNT 25% NOW","HEALTHY"))</f>
        <v>DISCOUNT 25% NOW</v>
      </c>
      <c r="T133" s="32">
        <f t="shared" ref="T133:T164" si="60">O133*12</f>
        <v>0.42000000000000004</v>
      </c>
      <c r="U133" s="32">
        <f t="shared" ref="U133:U164" si="61">IF(S133="EXECUTE REMOVAL",T133-Q133,0)</f>
        <v>0</v>
      </c>
      <c r="V133" s="4" t="str">
        <f t="shared" ref="V133:V164" si="62">IF(AND(P133&gt;0,O133&gt;0),"Before 14th 23:59 PT","-")</f>
        <v>Before 14th 23:59 PT</v>
      </c>
      <c r="W133" s="41">
        <f t="shared" ref="W133:W164" si="63">SUM(G133:I133)</f>
        <v>10</v>
      </c>
      <c r="X133" s="5" t="str">
        <f t="shared" ref="X133:X164" si="64">IF(P133=0,"Clear",IF(R133&lt;=AIS_Payback,"Remove before cliff","Discount to accelerate FIFO"))</f>
        <v>Discount to accelerate FIFO</v>
      </c>
    </row>
    <row r="134" spans="1:24" x14ac:dyDescent="0.3">
      <c r="A134" s="36" t="s">
        <v>582</v>
      </c>
      <c r="B134" s="16" t="s">
        <v>515</v>
      </c>
      <c r="C134" s="4" t="s">
        <v>188</v>
      </c>
      <c r="D134" s="34">
        <v>3.5000000000000001E-3</v>
      </c>
      <c r="E134" s="41">
        <v>0</v>
      </c>
      <c r="F134" s="41">
        <v>0</v>
      </c>
      <c r="G134" s="41">
        <v>0</v>
      </c>
      <c r="H134" s="41">
        <v>0</v>
      </c>
      <c r="I134" s="41">
        <v>0</v>
      </c>
      <c r="J134" s="31">
        <f>'03_FBA_Nivel1_Transfer'!H134</f>
        <v>0.33</v>
      </c>
      <c r="K134" s="32">
        <f>'03_FBA_Nivel1_Transfer'!I134</f>
        <v>0</v>
      </c>
      <c r="L134" s="32">
        <f t="shared" si="52"/>
        <v>0</v>
      </c>
      <c r="M134" s="32">
        <f t="shared" si="53"/>
        <v>0</v>
      </c>
      <c r="N134" s="32">
        <f t="shared" si="54"/>
        <v>0</v>
      </c>
      <c r="O134" s="47">
        <f t="shared" si="55"/>
        <v>0</v>
      </c>
      <c r="P134" s="41">
        <f t="shared" si="56"/>
        <v>0</v>
      </c>
      <c r="Q134" s="32">
        <f t="shared" si="57"/>
        <v>0</v>
      </c>
      <c r="R134" s="31" t="str">
        <f t="shared" si="58"/>
        <v/>
      </c>
      <c r="S134" s="6" t="str">
        <f t="shared" si="59"/>
        <v>HEALTHY</v>
      </c>
      <c r="T134" s="32">
        <f t="shared" si="60"/>
        <v>0</v>
      </c>
      <c r="U134" s="32">
        <f t="shared" si="61"/>
        <v>0</v>
      </c>
      <c r="V134" s="4" t="str">
        <f t="shared" si="62"/>
        <v>-</v>
      </c>
      <c r="W134" s="41">
        <f t="shared" si="63"/>
        <v>0</v>
      </c>
      <c r="X134" s="5" t="str">
        <f t="shared" si="64"/>
        <v>Clear</v>
      </c>
    </row>
    <row r="135" spans="1:24" x14ac:dyDescent="0.3">
      <c r="A135" s="36" t="s">
        <v>585</v>
      </c>
      <c r="B135" s="16" t="s">
        <v>515</v>
      </c>
      <c r="C135" s="4" t="s">
        <v>188</v>
      </c>
      <c r="D135" s="34">
        <v>3.5000000000000001E-3</v>
      </c>
      <c r="E135" s="41">
        <v>0</v>
      </c>
      <c r="F135" s="41">
        <v>0</v>
      </c>
      <c r="G135" s="41">
        <v>0</v>
      </c>
      <c r="H135" s="41">
        <v>0</v>
      </c>
      <c r="I135" s="41">
        <v>0</v>
      </c>
      <c r="J135" s="31">
        <f>'03_FBA_Nivel1_Transfer'!H135</f>
        <v>0</v>
      </c>
      <c r="K135" s="32">
        <f>'03_FBA_Nivel1_Transfer'!I135</f>
        <v>0</v>
      </c>
      <c r="L135" s="32">
        <f t="shared" si="52"/>
        <v>0</v>
      </c>
      <c r="M135" s="32">
        <f t="shared" si="53"/>
        <v>0</v>
      </c>
      <c r="N135" s="32">
        <f t="shared" si="54"/>
        <v>0</v>
      </c>
      <c r="O135" s="47">
        <f t="shared" si="55"/>
        <v>0</v>
      </c>
      <c r="P135" s="41">
        <f t="shared" si="56"/>
        <v>0</v>
      </c>
      <c r="Q135" s="32">
        <f t="shared" si="57"/>
        <v>0</v>
      </c>
      <c r="R135" s="31" t="str">
        <f t="shared" si="58"/>
        <v/>
      </c>
      <c r="S135" s="6" t="str">
        <f t="shared" si="59"/>
        <v>HEALTHY</v>
      </c>
      <c r="T135" s="32">
        <f t="shared" si="60"/>
        <v>0</v>
      </c>
      <c r="U135" s="32">
        <f t="shared" si="61"/>
        <v>0</v>
      </c>
      <c r="V135" s="4" t="str">
        <f t="shared" si="62"/>
        <v>-</v>
      </c>
      <c r="W135" s="41">
        <f t="shared" si="63"/>
        <v>0</v>
      </c>
      <c r="X135" s="5" t="str">
        <f t="shared" si="64"/>
        <v>Clear</v>
      </c>
    </row>
    <row r="136" spans="1:24" x14ac:dyDescent="0.3">
      <c r="A136" s="36" t="s">
        <v>588</v>
      </c>
      <c r="B136" s="16" t="s">
        <v>515</v>
      </c>
      <c r="C136" s="4" t="s">
        <v>188</v>
      </c>
      <c r="D136" s="34">
        <v>3.5000000000000001E-3</v>
      </c>
      <c r="E136" s="41">
        <v>0</v>
      </c>
      <c r="F136" s="41">
        <v>0</v>
      </c>
      <c r="G136" s="41">
        <v>0</v>
      </c>
      <c r="H136" s="41">
        <v>0</v>
      </c>
      <c r="I136" s="41">
        <v>0</v>
      </c>
      <c r="J136" s="31">
        <f>'03_FBA_Nivel1_Transfer'!H136</f>
        <v>24.15</v>
      </c>
      <c r="K136" s="32">
        <f>'03_FBA_Nivel1_Transfer'!I136</f>
        <v>0</v>
      </c>
      <c r="L136" s="32">
        <f t="shared" si="52"/>
        <v>0</v>
      </c>
      <c r="M136" s="32">
        <f t="shared" si="53"/>
        <v>0</v>
      </c>
      <c r="N136" s="32">
        <f t="shared" si="54"/>
        <v>0</v>
      </c>
      <c r="O136" s="47">
        <f t="shared" si="55"/>
        <v>0</v>
      </c>
      <c r="P136" s="41">
        <f t="shared" si="56"/>
        <v>0</v>
      </c>
      <c r="Q136" s="32">
        <f t="shared" si="57"/>
        <v>0</v>
      </c>
      <c r="R136" s="31" t="str">
        <f t="shared" si="58"/>
        <v/>
      </c>
      <c r="S136" s="6" t="str">
        <f t="shared" si="59"/>
        <v>HEALTHY</v>
      </c>
      <c r="T136" s="32">
        <f t="shared" si="60"/>
        <v>0</v>
      </c>
      <c r="U136" s="32">
        <f t="shared" si="61"/>
        <v>0</v>
      </c>
      <c r="V136" s="4" t="str">
        <f t="shared" si="62"/>
        <v>-</v>
      </c>
      <c r="W136" s="41">
        <f t="shared" si="63"/>
        <v>0</v>
      </c>
      <c r="X136" s="5" t="str">
        <f t="shared" si="64"/>
        <v>Clear</v>
      </c>
    </row>
    <row r="137" spans="1:24" x14ac:dyDescent="0.3">
      <c r="A137" s="36" t="s">
        <v>591</v>
      </c>
      <c r="B137" s="16" t="s">
        <v>592</v>
      </c>
      <c r="C137" s="4" t="s">
        <v>184</v>
      </c>
      <c r="D137" s="34">
        <v>1.2E-2</v>
      </c>
      <c r="E137" s="41">
        <v>73</v>
      </c>
      <c r="F137" s="41">
        <v>38</v>
      </c>
      <c r="G137" s="41">
        <v>15</v>
      </c>
      <c r="H137" s="41">
        <v>0</v>
      </c>
      <c r="I137" s="41">
        <v>0</v>
      </c>
      <c r="J137" s="31">
        <f>'03_FBA_Nivel1_Transfer'!H137</f>
        <v>35.950000000000003</v>
      </c>
      <c r="K137" s="32">
        <f>'03_FBA_Nivel1_Transfer'!I137</f>
        <v>0</v>
      </c>
      <c r="L137" s="32">
        <f t="shared" si="52"/>
        <v>0.18</v>
      </c>
      <c r="M137" s="32">
        <f t="shared" si="53"/>
        <v>0</v>
      </c>
      <c r="N137" s="32">
        <f t="shared" si="54"/>
        <v>0</v>
      </c>
      <c r="O137" s="47">
        <f t="shared" si="55"/>
        <v>0.18</v>
      </c>
      <c r="P137" s="41">
        <f t="shared" si="56"/>
        <v>15</v>
      </c>
      <c r="Q137" s="32">
        <f t="shared" si="57"/>
        <v>12.6</v>
      </c>
      <c r="R137" s="31">
        <f t="shared" si="58"/>
        <v>70</v>
      </c>
      <c r="S137" s="6" t="str">
        <f t="shared" si="59"/>
        <v>DISCOUNT 25% NOW</v>
      </c>
      <c r="T137" s="32">
        <f t="shared" si="60"/>
        <v>2.16</v>
      </c>
      <c r="U137" s="32">
        <f t="shared" si="61"/>
        <v>0</v>
      </c>
      <c r="V137" s="4" t="str">
        <f t="shared" si="62"/>
        <v>Before 14th 23:59 PT</v>
      </c>
      <c r="W137" s="41">
        <f t="shared" si="63"/>
        <v>15</v>
      </c>
      <c r="X137" s="5" t="str">
        <f t="shared" si="64"/>
        <v>Discount to accelerate FIFO</v>
      </c>
    </row>
    <row r="138" spans="1:24" x14ac:dyDescent="0.3">
      <c r="A138" s="36" t="s">
        <v>599</v>
      </c>
      <c r="B138" s="16" t="s">
        <v>592</v>
      </c>
      <c r="C138" s="4" t="s">
        <v>184</v>
      </c>
      <c r="D138" s="34">
        <v>1.2E-2</v>
      </c>
      <c r="E138" s="41">
        <v>90</v>
      </c>
      <c r="F138" s="41">
        <v>47</v>
      </c>
      <c r="G138" s="41">
        <v>19</v>
      </c>
      <c r="H138" s="41">
        <v>0</v>
      </c>
      <c r="I138" s="41">
        <v>0</v>
      </c>
      <c r="J138" s="31">
        <f>'03_FBA_Nivel1_Transfer'!H138</f>
        <v>41.9</v>
      </c>
      <c r="K138" s="32">
        <f>'03_FBA_Nivel1_Transfer'!I138</f>
        <v>0</v>
      </c>
      <c r="L138" s="32">
        <f t="shared" si="52"/>
        <v>0.22800000000000001</v>
      </c>
      <c r="M138" s="32">
        <f t="shared" si="53"/>
        <v>0</v>
      </c>
      <c r="N138" s="32">
        <f t="shared" si="54"/>
        <v>0</v>
      </c>
      <c r="O138" s="47">
        <f t="shared" si="55"/>
        <v>0.22800000000000001</v>
      </c>
      <c r="P138" s="41">
        <f t="shared" si="56"/>
        <v>19</v>
      </c>
      <c r="Q138" s="32">
        <f t="shared" si="57"/>
        <v>15.959999999999999</v>
      </c>
      <c r="R138" s="31">
        <f t="shared" si="58"/>
        <v>70</v>
      </c>
      <c r="S138" s="6" t="str">
        <f t="shared" si="59"/>
        <v>DISCOUNT 25% NOW</v>
      </c>
      <c r="T138" s="32">
        <f t="shared" si="60"/>
        <v>2.7360000000000002</v>
      </c>
      <c r="U138" s="32">
        <f t="shared" si="61"/>
        <v>0</v>
      </c>
      <c r="V138" s="4" t="str">
        <f t="shared" si="62"/>
        <v>Before 14th 23:59 PT</v>
      </c>
      <c r="W138" s="41">
        <f t="shared" si="63"/>
        <v>19</v>
      </c>
      <c r="X138" s="5" t="str">
        <f t="shared" si="64"/>
        <v>Discount to accelerate FIFO</v>
      </c>
    </row>
    <row r="139" spans="1:24" x14ac:dyDescent="0.3">
      <c r="A139" s="36" t="s">
        <v>603</v>
      </c>
      <c r="B139" s="16" t="s">
        <v>592</v>
      </c>
      <c r="C139" s="4" t="s">
        <v>184</v>
      </c>
      <c r="D139" s="34">
        <v>1.2E-2</v>
      </c>
      <c r="E139" s="41">
        <v>102</v>
      </c>
      <c r="F139" s="41">
        <v>52</v>
      </c>
      <c r="G139" s="41">
        <v>21</v>
      </c>
      <c r="H139" s="41">
        <v>0</v>
      </c>
      <c r="I139" s="41">
        <v>0</v>
      </c>
      <c r="J139" s="31">
        <f>'03_FBA_Nivel1_Transfer'!H139</f>
        <v>42.66</v>
      </c>
      <c r="K139" s="32">
        <f>'03_FBA_Nivel1_Transfer'!I139</f>
        <v>0</v>
      </c>
      <c r="L139" s="32">
        <f t="shared" si="52"/>
        <v>0.252</v>
      </c>
      <c r="M139" s="32">
        <f t="shared" si="53"/>
        <v>0</v>
      </c>
      <c r="N139" s="32">
        <f t="shared" si="54"/>
        <v>0</v>
      </c>
      <c r="O139" s="47">
        <f t="shared" si="55"/>
        <v>0.252</v>
      </c>
      <c r="P139" s="41">
        <f t="shared" si="56"/>
        <v>21</v>
      </c>
      <c r="Q139" s="32">
        <f t="shared" si="57"/>
        <v>17.64</v>
      </c>
      <c r="R139" s="31">
        <f t="shared" si="58"/>
        <v>70</v>
      </c>
      <c r="S139" s="6" t="str">
        <f t="shared" si="59"/>
        <v>DISCOUNT 25% NOW</v>
      </c>
      <c r="T139" s="32">
        <f t="shared" si="60"/>
        <v>3.024</v>
      </c>
      <c r="U139" s="32">
        <f t="shared" si="61"/>
        <v>0</v>
      </c>
      <c r="V139" s="4" t="str">
        <f t="shared" si="62"/>
        <v>Before 14th 23:59 PT</v>
      </c>
      <c r="W139" s="41">
        <f t="shared" si="63"/>
        <v>21</v>
      </c>
      <c r="X139" s="5" t="str">
        <f t="shared" si="64"/>
        <v>Discount to accelerate FIFO</v>
      </c>
    </row>
    <row r="140" spans="1:24" x14ac:dyDescent="0.3">
      <c r="A140" s="36" t="s">
        <v>606</v>
      </c>
      <c r="B140" s="16" t="s">
        <v>592</v>
      </c>
      <c r="C140" s="4" t="s">
        <v>179</v>
      </c>
      <c r="D140" s="34">
        <v>1.2E-2</v>
      </c>
      <c r="E140" s="41">
        <v>61</v>
      </c>
      <c r="F140" s="41">
        <v>32</v>
      </c>
      <c r="G140" s="41">
        <v>13</v>
      </c>
      <c r="H140" s="41">
        <v>0</v>
      </c>
      <c r="I140" s="41">
        <v>0</v>
      </c>
      <c r="J140" s="31">
        <f>'03_FBA_Nivel1_Transfer'!H140</f>
        <v>35.18</v>
      </c>
      <c r="K140" s="32">
        <f>'03_FBA_Nivel1_Transfer'!I140</f>
        <v>0</v>
      </c>
      <c r="L140" s="32">
        <f t="shared" si="52"/>
        <v>0.156</v>
      </c>
      <c r="M140" s="32">
        <f t="shared" si="53"/>
        <v>0</v>
      </c>
      <c r="N140" s="32">
        <f t="shared" si="54"/>
        <v>0</v>
      </c>
      <c r="O140" s="47">
        <f t="shared" si="55"/>
        <v>0.156</v>
      </c>
      <c r="P140" s="41">
        <f t="shared" si="56"/>
        <v>13</v>
      </c>
      <c r="Q140" s="32">
        <f t="shared" si="57"/>
        <v>10.92</v>
      </c>
      <c r="R140" s="31">
        <f t="shared" si="58"/>
        <v>70</v>
      </c>
      <c r="S140" s="6" t="str">
        <f t="shared" si="59"/>
        <v>DISCOUNT 25% NOW</v>
      </c>
      <c r="T140" s="32">
        <f t="shared" si="60"/>
        <v>1.8719999999999999</v>
      </c>
      <c r="U140" s="32">
        <f t="shared" si="61"/>
        <v>0</v>
      </c>
      <c r="V140" s="4" t="str">
        <f t="shared" si="62"/>
        <v>Before 14th 23:59 PT</v>
      </c>
      <c r="W140" s="41">
        <f t="shared" si="63"/>
        <v>13</v>
      </c>
      <c r="X140" s="5" t="str">
        <f t="shared" si="64"/>
        <v>Discount to accelerate FIFO</v>
      </c>
    </row>
    <row r="141" spans="1:24" x14ac:dyDescent="0.3">
      <c r="A141" s="36" t="s">
        <v>609</v>
      </c>
      <c r="B141" s="16" t="s">
        <v>592</v>
      </c>
      <c r="C141" s="4" t="s">
        <v>184</v>
      </c>
      <c r="D141" s="34">
        <v>1.2E-2</v>
      </c>
      <c r="E141" s="41">
        <v>59</v>
      </c>
      <c r="F141" s="41">
        <v>30</v>
      </c>
      <c r="G141" s="41">
        <v>12</v>
      </c>
      <c r="H141" s="41">
        <v>0</v>
      </c>
      <c r="I141" s="41">
        <v>0</v>
      </c>
      <c r="J141" s="31">
        <f>'03_FBA_Nivel1_Transfer'!H141</f>
        <v>51.34</v>
      </c>
      <c r="K141" s="32">
        <f>'03_FBA_Nivel1_Transfer'!I141</f>
        <v>0</v>
      </c>
      <c r="L141" s="32">
        <f t="shared" si="52"/>
        <v>0.14400000000000002</v>
      </c>
      <c r="M141" s="32">
        <f t="shared" si="53"/>
        <v>0</v>
      </c>
      <c r="N141" s="32">
        <f t="shared" si="54"/>
        <v>0</v>
      </c>
      <c r="O141" s="47">
        <f t="shared" si="55"/>
        <v>0.14400000000000002</v>
      </c>
      <c r="P141" s="41">
        <f t="shared" si="56"/>
        <v>12</v>
      </c>
      <c r="Q141" s="32">
        <f t="shared" si="57"/>
        <v>10.08</v>
      </c>
      <c r="R141" s="31">
        <f t="shared" si="58"/>
        <v>69.999999999999986</v>
      </c>
      <c r="S141" s="6" t="str">
        <f t="shared" si="59"/>
        <v>DISCOUNT 25% NOW</v>
      </c>
      <c r="T141" s="32">
        <f t="shared" si="60"/>
        <v>1.7280000000000002</v>
      </c>
      <c r="U141" s="32">
        <f t="shared" si="61"/>
        <v>0</v>
      </c>
      <c r="V141" s="4" t="str">
        <f t="shared" si="62"/>
        <v>Before 14th 23:59 PT</v>
      </c>
      <c r="W141" s="41">
        <f t="shared" si="63"/>
        <v>12</v>
      </c>
      <c r="X141" s="5" t="str">
        <f t="shared" si="64"/>
        <v>Discount to accelerate FIFO</v>
      </c>
    </row>
    <row r="142" spans="1:24" x14ac:dyDescent="0.3">
      <c r="A142" s="36" t="s">
        <v>612</v>
      </c>
      <c r="B142" s="16" t="s">
        <v>592</v>
      </c>
      <c r="C142" s="4" t="s">
        <v>188</v>
      </c>
      <c r="D142" s="34">
        <v>1.2E-2</v>
      </c>
      <c r="E142" s="41">
        <v>46</v>
      </c>
      <c r="F142" s="41">
        <v>28</v>
      </c>
      <c r="G142" s="41">
        <v>18</v>
      </c>
      <c r="H142" s="41">
        <v>0</v>
      </c>
      <c r="I142" s="41">
        <v>0</v>
      </c>
      <c r="J142" s="31">
        <f>'03_FBA_Nivel1_Transfer'!H142</f>
        <v>70.95</v>
      </c>
      <c r="K142" s="32">
        <f>'03_FBA_Nivel1_Transfer'!I142</f>
        <v>0</v>
      </c>
      <c r="L142" s="32">
        <f t="shared" si="52"/>
        <v>0.216</v>
      </c>
      <c r="M142" s="32">
        <f t="shared" si="53"/>
        <v>0</v>
      </c>
      <c r="N142" s="32">
        <f t="shared" si="54"/>
        <v>0</v>
      </c>
      <c r="O142" s="47">
        <f t="shared" si="55"/>
        <v>0.216</v>
      </c>
      <c r="P142" s="41">
        <f t="shared" si="56"/>
        <v>18</v>
      </c>
      <c r="Q142" s="32">
        <f t="shared" si="57"/>
        <v>15.12</v>
      </c>
      <c r="R142" s="31">
        <f t="shared" si="58"/>
        <v>70</v>
      </c>
      <c r="S142" s="6" t="str">
        <f t="shared" si="59"/>
        <v>DISCOUNT 25% NOW</v>
      </c>
      <c r="T142" s="32">
        <f t="shared" si="60"/>
        <v>2.5920000000000001</v>
      </c>
      <c r="U142" s="32">
        <f t="shared" si="61"/>
        <v>0</v>
      </c>
      <c r="V142" s="4" t="str">
        <f t="shared" si="62"/>
        <v>Before 14th 23:59 PT</v>
      </c>
      <c r="W142" s="41">
        <f t="shared" si="63"/>
        <v>18</v>
      </c>
      <c r="X142" s="5" t="str">
        <f t="shared" si="64"/>
        <v>Discount to accelerate FIFO</v>
      </c>
    </row>
    <row r="143" spans="1:24" x14ac:dyDescent="0.3">
      <c r="A143" s="36" t="s">
        <v>615</v>
      </c>
      <c r="B143" s="16" t="s">
        <v>592</v>
      </c>
      <c r="C143" s="4" t="s">
        <v>184</v>
      </c>
      <c r="D143" s="34">
        <v>1.2E-2</v>
      </c>
      <c r="E143" s="41">
        <v>16</v>
      </c>
      <c r="F143" s="41">
        <v>8</v>
      </c>
      <c r="G143" s="41">
        <v>3</v>
      </c>
      <c r="H143" s="41">
        <v>0</v>
      </c>
      <c r="I143" s="41">
        <v>0</v>
      </c>
      <c r="J143" s="31">
        <f>'03_FBA_Nivel1_Transfer'!H143</f>
        <v>27.79</v>
      </c>
      <c r="K143" s="32">
        <f>'03_FBA_Nivel1_Transfer'!I143</f>
        <v>0</v>
      </c>
      <c r="L143" s="32">
        <f t="shared" si="52"/>
        <v>3.6000000000000004E-2</v>
      </c>
      <c r="M143" s="32">
        <f t="shared" si="53"/>
        <v>0</v>
      </c>
      <c r="N143" s="32">
        <f t="shared" si="54"/>
        <v>0</v>
      </c>
      <c r="O143" s="47">
        <f t="shared" si="55"/>
        <v>3.6000000000000004E-2</v>
      </c>
      <c r="P143" s="41">
        <f t="shared" si="56"/>
        <v>3</v>
      </c>
      <c r="Q143" s="32">
        <f t="shared" si="57"/>
        <v>2.52</v>
      </c>
      <c r="R143" s="31">
        <f t="shared" si="58"/>
        <v>69.999999999999986</v>
      </c>
      <c r="S143" s="6" t="str">
        <f t="shared" si="59"/>
        <v>DISCOUNT 25% NOW</v>
      </c>
      <c r="T143" s="32">
        <f t="shared" si="60"/>
        <v>0.43200000000000005</v>
      </c>
      <c r="U143" s="32">
        <f t="shared" si="61"/>
        <v>0</v>
      </c>
      <c r="V143" s="4" t="str">
        <f t="shared" si="62"/>
        <v>Before 14th 23:59 PT</v>
      </c>
      <c r="W143" s="41">
        <f t="shared" si="63"/>
        <v>3</v>
      </c>
      <c r="X143" s="5" t="str">
        <f t="shared" si="64"/>
        <v>Discount to accelerate FIFO</v>
      </c>
    </row>
    <row r="144" spans="1:24" x14ac:dyDescent="0.3">
      <c r="A144" s="36" t="s">
        <v>618</v>
      </c>
      <c r="B144" s="16" t="s">
        <v>592</v>
      </c>
      <c r="C144" s="4" t="s">
        <v>188</v>
      </c>
      <c r="D144" s="34">
        <v>1.2E-2</v>
      </c>
      <c r="E144" s="41">
        <v>9</v>
      </c>
      <c r="F144" s="41">
        <v>5</v>
      </c>
      <c r="G144" s="41">
        <v>3</v>
      </c>
      <c r="H144" s="41">
        <v>0</v>
      </c>
      <c r="I144" s="41">
        <v>0</v>
      </c>
      <c r="J144" s="31">
        <f>'03_FBA_Nivel1_Transfer'!H144</f>
        <v>46.97</v>
      </c>
      <c r="K144" s="32">
        <f>'03_FBA_Nivel1_Transfer'!I144</f>
        <v>0</v>
      </c>
      <c r="L144" s="32">
        <f t="shared" si="52"/>
        <v>3.6000000000000004E-2</v>
      </c>
      <c r="M144" s="32">
        <f t="shared" si="53"/>
        <v>0</v>
      </c>
      <c r="N144" s="32">
        <f t="shared" si="54"/>
        <v>0</v>
      </c>
      <c r="O144" s="47">
        <f t="shared" si="55"/>
        <v>3.6000000000000004E-2</v>
      </c>
      <c r="P144" s="41">
        <f t="shared" si="56"/>
        <v>3</v>
      </c>
      <c r="Q144" s="32">
        <f t="shared" si="57"/>
        <v>2.52</v>
      </c>
      <c r="R144" s="31">
        <f t="shared" si="58"/>
        <v>69.999999999999986</v>
      </c>
      <c r="S144" s="6" t="str">
        <f t="shared" si="59"/>
        <v>DISCOUNT 25% NOW</v>
      </c>
      <c r="T144" s="32">
        <f t="shared" si="60"/>
        <v>0.43200000000000005</v>
      </c>
      <c r="U144" s="32">
        <f t="shared" si="61"/>
        <v>0</v>
      </c>
      <c r="V144" s="4" t="str">
        <f t="shared" si="62"/>
        <v>Before 14th 23:59 PT</v>
      </c>
      <c r="W144" s="41">
        <f t="shared" si="63"/>
        <v>3</v>
      </c>
      <c r="X144" s="5" t="str">
        <f t="shared" si="64"/>
        <v>Discount to accelerate FIFO</v>
      </c>
    </row>
    <row r="145" spans="1:24" x14ac:dyDescent="0.3">
      <c r="A145" s="36" t="s">
        <v>621</v>
      </c>
      <c r="B145" s="16" t="s">
        <v>592</v>
      </c>
      <c r="C145" s="4" t="s">
        <v>184</v>
      </c>
      <c r="D145" s="34">
        <v>1.2E-2</v>
      </c>
      <c r="E145" s="41">
        <v>55</v>
      </c>
      <c r="F145" s="41">
        <v>29</v>
      </c>
      <c r="G145" s="41">
        <v>11</v>
      </c>
      <c r="H145" s="41">
        <v>0</v>
      </c>
      <c r="I145" s="41">
        <v>0</v>
      </c>
      <c r="J145" s="31">
        <f>'03_FBA_Nivel1_Transfer'!H145</f>
        <v>37.58</v>
      </c>
      <c r="K145" s="32">
        <f>'03_FBA_Nivel1_Transfer'!I145</f>
        <v>0</v>
      </c>
      <c r="L145" s="32">
        <f t="shared" si="52"/>
        <v>0.13200000000000001</v>
      </c>
      <c r="M145" s="32">
        <f t="shared" si="53"/>
        <v>0</v>
      </c>
      <c r="N145" s="32">
        <f t="shared" si="54"/>
        <v>0</v>
      </c>
      <c r="O145" s="47">
        <f t="shared" si="55"/>
        <v>0.13200000000000001</v>
      </c>
      <c r="P145" s="41">
        <f t="shared" si="56"/>
        <v>11</v>
      </c>
      <c r="Q145" s="32">
        <f t="shared" si="57"/>
        <v>9.24</v>
      </c>
      <c r="R145" s="31">
        <f t="shared" si="58"/>
        <v>70</v>
      </c>
      <c r="S145" s="6" t="str">
        <f t="shared" si="59"/>
        <v>DISCOUNT 25% NOW</v>
      </c>
      <c r="T145" s="32">
        <f t="shared" si="60"/>
        <v>1.5840000000000001</v>
      </c>
      <c r="U145" s="32">
        <f t="shared" si="61"/>
        <v>0</v>
      </c>
      <c r="V145" s="4" t="str">
        <f t="shared" si="62"/>
        <v>Before 14th 23:59 PT</v>
      </c>
      <c r="W145" s="41">
        <f t="shared" si="63"/>
        <v>11</v>
      </c>
      <c r="X145" s="5" t="str">
        <f t="shared" si="64"/>
        <v>Discount to accelerate FIFO</v>
      </c>
    </row>
    <row r="146" spans="1:24" x14ac:dyDescent="0.3">
      <c r="A146" s="36" t="s">
        <v>624</v>
      </c>
      <c r="B146" s="16" t="s">
        <v>592</v>
      </c>
      <c r="C146" s="4" t="s">
        <v>184</v>
      </c>
      <c r="D146" s="34">
        <v>1.2E-2</v>
      </c>
      <c r="E146" s="41">
        <v>10</v>
      </c>
      <c r="F146" s="41">
        <v>5</v>
      </c>
      <c r="G146" s="41">
        <v>2</v>
      </c>
      <c r="H146" s="41">
        <v>0</v>
      </c>
      <c r="I146" s="41">
        <v>0</v>
      </c>
      <c r="J146" s="31">
        <f>'03_FBA_Nivel1_Transfer'!H146</f>
        <v>31.07</v>
      </c>
      <c r="K146" s="32">
        <f>'03_FBA_Nivel1_Transfer'!I146</f>
        <v>0</v>
      </c>
      <c r="L146" s="32">
        <f t="shared" si="52"/>
        <v>2.4E-2</v>
      </c>
      <c r="M146" s="32">
        <f t="shared" si="53"/>
        <v>0</v>
      </c>
      <c r="N146" s="32">
        <f t="shared" si="54"/>
        <v>0</v>
      </c>
      <c r="O146" s="47">
        <f t="shared" si="55"/>
        <v>2.4E-2</v>
      </c>
      <c r="P146" s="41">
        <f t="shared" si="56"/>
        <v>2</v>
      </c>
      <c r="Q146" s="32">
        <f t="shared" si="57"/>
        <v>1.68</v>
      </c>
      <c r="R146" s="31">
        <f t="shared" si="58"/>
        <v>70</v>
      </c>
      <c r="S146" s="6" t="str">
        <f t="shared" si="59"/>
        <v>DISCOUNT 25% NOW</v>
      </c>
      <c r="T146" s="32">
        <f t="shared" si="60"/>
        <v>0.28800000000000003</v>
      </c>
      <c r="U146" s="32">
        <f t="shared" si="61"/>
        <v>0</v>
      </c>
      <c r="V146" s="4" t="str">
        <f t="shared" si="62"/>
        <v>Before 14th 23:59 PT</v>
      </c>
      <c r="W146" s="41">
        <f t="shared" si="63"/>
        <v>2</v>
      </c>
      <c r="X146" s="5" t="str">
        <f t="shared" si="64"/>
        <v>Discount to accelerate FIFO</v>
      </c>
    </row>
    <row r="147" spans="1:24" x14ac:dyDescent="0.3">
      <c r="A147" s="36" t="s">
        <v>627</v>
      </c>
      <c r="B147" s="16" t="s">
        <v>592</v>
      </c>
      <c r="C147" s="4" t="s">
        <v>184</v>
      </c>
      <c r="D147" s="34">
        <v>1.2E-2</v>
      </c>
      <c r="E147" s="41">
        <v>46</v>
      </c>
      <c r="F147" s="41">
        <v>24</v>
      </c>
      <c r="G147" s="41">
        <v>9</v>
      </c>
      <c r="H147" s="41">
        <v>0</v>
      </c>
      <c r="I147" s="41">
        <v>0</v>
      </c>
      <c r="J147" s="31">
        <f>'03_FBA_Nivel1_Transfer'!H147</f>
        <v>68.819999999999993</v>
      </c>
      <c r="K147" s="32">
        <f>'03_FBA_Nivel1_Transfer'!I147</f>
        <v>0</v>
      </c>
      <c r="L147" s="32">
        <f t="shared" si="52"/>
        <v>0.108</v>
      </c>
      <c r="M147" s="32">
        <f t="shared" si="53"/>
        <v>0</v>
      </c>
      <c r="N147" s="32">
        <f t="shared" si="54"/>
        <v>0</v>
      </c>
      <c r="O147" s="47">
        <f t="shared" si="55"/>
        <v>0.108</v>
      </c>
      <c r="P147" s="41">
        <f t="shared" si="56"/>
        <v>9</v>
      </c>
      <c r="Q147" s="32">
        <f t="shared" si="57"/>
        <v>7.56</v>
      </c>
      <c r="R147" s="31">
        <f t="shared" si="58"/>
        <v>70</v>
      </c>
      <c r="S147" s="6" t="str">
        <f t="shared" si="59"/>
        <v>DISCOUNT 25% NOW</v>
      </c>
      <c r="T147" s="32">
        <f t="shared" si="60"/>
        <v>1.296</v>
      </c>
      <c r="U147" s="32">
        <f t="shared" si="61"/>
        <v>0</v>
      </c>
      <c r="V147" s="4" t="str">
        <f t="shared" si="62"/>
        <v>Before 14th 23:59 PT</v>
      </c>
      <c r="W147" s="41">
        <f t="shared" si="63"/>
        <v>9</v>
      </c>
      <c r="X147" s="5" t="str">
        <f t="shared" si="64"/>
        <v>Discount to accelerate FIFO</v>
      </c>
    </row>
    <row r="148" spans="1:24" x14ac:dyDescent="0.3">
      <c r="A148" s="36" t="s">
        <v>630</v>
      </c>
      <c r="B148" s="16" t="s">
        <v>592</v>
      </c>
      <c r="C148" s="4" t="s">
        <v>188</v>
      </c>
      <c r="D148" s="34">
        <v>1.2E-2</v>
      </c>
      <c r="E148" s="41">
        <v>26</v>
      </c>
      <c r="F148" s="41">
        <v>15</v>
      </c>
      <c r="G148" s="41">
        <v>10</v>
      </c>
      <c r="H148" s="41">
        <v>0</v>
      </c>
      <c r="I148" s="41">
        <v>0</v>
      </c>
      <c r="J148" s="31">
        <f>'03_FBA_Nivel1_Transfer'!H148</f>
        <v>80.61</v>
      </c>
      <c r="K148" s="32">
        <f>'03_FBA_Nivel1_Transfer'!I148</f>
        <v>0</v>
      </c>
      <c r="L148" s="32">
        <f t="shared" si="52"/>
        <v>0.12</v>
      </c>
      <c r="M148" s="32">
        <f t="shared" si="53"/>
        <v>0</v>
      </c>
      <c r="N148" s="32">
        <f t="shared" si="54"/>
        <v>0</v>
      </c>
      <c r="O148" s="47">
        <f t="shared" si="55"/>
        <v>0.12</v>
      </c>
      <c r="P148" s="41">
        <f t="shared" si="56"/>
        <v>10</v>
      </c>
      <c r="Q148" s="32">
        <f t="shared" si="57"/>
        <v>8.4</v>
      </c>
      <c r="R148" s="31">
        <f t="shared" si="58"/>
        <v>70</v>
      </c>
      <c r="S148" s="6" t="str">
        <f t="shared" si="59"/>
        <v>DISCOUNT 25% NOW</v>
      </c>
      <c r="T148" s="32">
        <f t="shared" si="60"/>
        <v>1.44</v>
      </c>
      <c r="U148" s="32">
        <f t="shared" si="61"/>
        <v>0</v>
      </c>
      <c r="V148" s="4" t="str">
        <f t="shared" si="62"/>
        <v>Before 14th 23:59 PT</v>
      </c>
      <c r="W148" s="41">
        <f t="shared" si="63"/>
        <v>10</v>
      </c>
      <c r="X148" s="5" t="str">
        <f t="shared" si="64"/>
        <v>Discount to accelerate FIFO</v>
      </c>
    </row>
    <row r="149" spans="1:24" x14ac:dyDescent="0.3">
      <c r="A149" s="36" t="s">
        <v>633</v>
      </c>
      <c r="B149" s="16" t="s">
        <v>592</v>
      </c>
      <c r="C149" s="4" t="s">
        <v>179</v>
      </c>
      <c r="D149" s="34">
        <v>1.2E-2</v>
      </c>
      <c r="E149" s="41">
        <v>31</v>
      </c>
      <c r="F149" s="41">
        <v>16</v>
      </c>
      <c r="G149" s="41">
        <v>7</v>
      </c>
      <c r="H149" s="41">
        <v>0</v>
      </c>
      <c r="I149" s="41">
        <v>0</v>
      </c>
      <c r="J149" s="31">
        <f>'03_FBA_Nivel1_Transfer'!H149</f>
        <v>38.9</v>
      </c>
      <c r="K149" s="32">
        <f>'03_FBA_Nivel1_Transfer'!I149</f>
        <v>0</v>
      </c>
      <c r="L149" s="32">
        <f t="shared" si="52"/>
        <v>8.4000000000000005E-2</v>
      </c>
      <c r="M149" s="32">
        <f t="shared" si="53"/>
        <v>0</v>
      </c>
      <c r="N149" s="32">
        <f t="shared" si="54"/>
        <v>0</v>
      </c>
      <c r="O149" s="47">
        <f t="shared" si="55"/>
        <v>8.4000000000000005E-2</v>
      </c>
      <c r="P149" s="41">
        <f t="shared" si="56"/>
        <v>7</v>
      </c>
      <c r="Q149" s="32">
        <f t="shared" si="57"/>
        <v>5.88</v>
      </c>
      <c r="R149" s="31">
        <f t="shared" si="58"/>
        <v>70</v>
      </c>
      <c r="S149" s="6" t="str">
        <f t="shared" si="59"/>
        <v>DISCOUNT 25% NOW</v>
      </c>
      <c r="T149" s="32">
        <f t="shared" si="60"/>
        <v>1.008</v>
      </c>
      <c r="U149" s="32">
        <f t="shared" si="61"/>
        <v>0</v>
      </c>
      <c r="V149" s="4" t="str">
        <f t="shared" si="62"/>
        <v>Before 14th 23:59 PT</v>
      </c>
      <c r="W149" s="41">
        <f t="shared" si="63"/>
        <v>7</v>
      </c>
      <c r="X149" s="5" t="str">
        <f t="shared" si="64"/>
        <v>Discount to accelerate FIFO</v>
      </c>
    </row>
    <row r="150" spans="1:24" x14ac:dyDescent="0.3">
      <c r="A150" s="36" t="s">
        <v>636</v>
      </c>
      <c r="B150" s="16" t="s">
        <v>592</v>
      </c>
      <c r="C150" s="4" t="s">
        <v>188</v>
      </c>
      <c r="D150" s="34">
        <v>1.2E-2</v>
      </c>
      <c r="E150" s="41">
        <v>0</v>
      </c>
      <c r="F150" s="41">
        <v>0</v>
      </c>
      <c r="G150" s="41">
        <v>0</v>
      </c>
      <c r="H150" s="41">
        <v>0</v>
      </c>
      <c r="I150" s="41">
        <v>0</v>
      </c>
      <c r="J150" s="31">
        <f>'03_FBA_Nivel1_Transfer'!H150</f>
        <v>41.65</v>
      </c>
      <c r="K150" s="32">
        <f>'03_FBA_Nivel1_Transfer'!I150</f>
        <v>0</v>
      </c>
      <c r="L150" s="32">
        <f t="shared" si="52"/>
        <v>0</v>
      </c>
      <c r="M150" s="32">
        <f t="shared" si="53"/>
        <v>0</v>
      </c>
      <c r="N150" s="32">
        <f t="shared" si="54"/>
        <v>0</v>
      </c>
      <c r="O150" s="47">
        <f t="shared" si="55"/>
        <v>0</v>
      </c>
      <c r="P150" s="41">
        <f t="shared" si="56"/>
        <v>0</v>
      </c>
      <c r="Q150" s="32">
        <f t="shared" si="57"/>
        <v>0</v>
      </c>
      <c r="R150" s="31" t="str">
        <f t="shared" si="58"/>
        <v/>
      </c>
      <c r="S150" s="6" t="str">
        <f t="shared" si="59"/>
        <v>HEALTHY</v>
      </c>
      <c r="T150" s="32">
        <f t="shared" si="60"/>
        <v>0</v>
      </c>
      <c r="U150" s="32">
        <f t="shared" si="61"/>
        <v>0</v>
      </c>
      <c r="V150" s="4" t="str">
        <f t="shared" si="62"/>
        <v>-</v>
      </c>
      <c r="W150" s="41">
        <f t="shared" si="63"/>
        <v>0</v>
      </c>
      <c r="X150" s="5" t="str">
        <f t="shared" si="64"/>
        <v>Clear</v>
      </c>
    </row>
    <row r="151" spans="1:24" x14ac:dyDescent="0.3">
      <c r="A151" s="36" t="s">
        <v>639</v>
      </c>
      <c r="B151" s="16" t="s">
        <v>592</v>
      </c>
      <c r="C151" s="4" t="s">
        <v>188</v>
      </c>
      <c r="D151" s="34">
        <v>1.2E-2</v>
      </c>
      <c r="E151" s="41">
        <v>36</v>
      </c>
      <c r="F151" s="41">
        <v>21</v>
      </c>
      <c r="G151" s="41">
        <v>14</v>
      </c>
      <c r="H151" s="41">
        <v>0</v>
      </c>
      <c r="I151" s="41">
        <v>0</v>
      </c>
      <c r="J151" s="31">
        <f>'03_FBA_Nivel1_Transfer'!H151</f>
        <v>52.13</v>
      </c>
      <c r="K151" s="32">
        <f>'03_FBA_Nivel1_Transfer'!I151</f>
        <v>0</v>
      </c>
      <c r="L151" s="32">
        <f t="shared" si="52"/>
        <v>0.16800000000000001</v>
      </c>
      <c r="M151" s="32">
        <f t="shared" si="53"/>
        <v>0</v>
      </c>
      <c r="N151" s="32">
        <f t="shared" si="54"/>
        <v>0</v>
      </c>
      <c r="O151" s="47">
        <f t="shared" si="55"/>
        <v>0.16800000000000001</v>
      </c>
      <c r="P151" s="41">
        <f t="shared" si="56"/>
        <v>14</v>
      </c>
      <c r="Q151" s="32">
        <f t="shared" si="57"/>
        <v>11.76</v>
      </c>
      <c r="R151" s="31">
        <f t="shared" si="58"/>
        <v>70</v>
      </c>
      <c r="S151" s="6" t="str">
        <f t="shared" si="59"/>
        <v>DISCOUNT 25% NOW</v>
      </c>
      <c r="T151" s="32">
        <f t="shared" si="60"/>
        <v>2.016</v>
      </c>
      <c r="U151" s="32">
        <f t="shared" si="61"/>
        <v>0</v>
      </c>
      <c r="V151" s="4" t="str">
        <f t="shared" si="62"/>
        <v>Before 14th 23:59 PT</v>
      </c>
      <c r="W151" s="41">
        <f t="shared" si="63"/>
        <v>14</v>
      </c>
      <c r="X151" s="5" t="str">
        <f t="shared" si="64"/>
        <v>Discount to accelerate FIFO</v>
      </c>
    </row>
    <row r="152" spans="1:24" x14ac:dyDescent="0.3">
      <c r="A152" s="36" t="s">
        <v>642</v>
      </c>
      <c r="B152" s="16" t="s">
        <v>592</v>
      </c>
      <c r="C152" s="4" t="s">
        <v>188</v>
      </c>
      <c r="D152" s="34">
        <v>1.2E-2</v>
      </c>
      <c r="E152" s="41">
        <v>9</v>
      </c>
      <c r="F152" s="41">
        <v>25</v>
      </c>
      <c r="G152" s="41">
        <v>34</v>
      </c>
      <c r="H152" s="41">
        <v>59</v>
      </c>
      <c r="I152" s="41">
        <v>42</v>
      </c>
      <c r="J152" s="31">
        <f>'03_FBA_Nivel1_Transfer'!H152</f>
        <v>333.58</v>
      </c>
      <c r="K152" s="32">
        <f>'03_FBA_Nivel1_Transfer'!I152</f>
        <v>0</v>
      </c>
      <c r="L152" s="32">
        <f t="shared" si="52"/>
        <v>0.40800000000000003</v>
      </c>
      <c r="M152" s="32">
        <f t="shared" si="53"/>
        <v>3.8586</v>
      </c>
      <c r="N152" s="32">
        <f t="shared" si="54"/>
        <v>12.6</v>
      </c>
      <c r="O152" s="47">
        <f t="shared" si="55"/>
        <v>16.866599999999998</v>
      </c>
      <c r="P152" s="41">
        <f t="shared" si="56"/>
        <v>135</v>
      </c>
      <c r="Q152" s="32">
        <f t="shared" si="57"/>
        <v>113.39999999999999</v>
      </c>
      <c r="R152" s="31">
        <f t="shared" si="58"/>
        <v>6.7233467325957816</v>
      </c>
      <c r="S152" s="6" t="str">
        <f t="shared" si="59"/>
        <v>EXECUTE REMOVAL</v>
      </c>
      <c r="T152" s="32">
        <f t="shared" si="60"/>
        <v>202.39919999999998</v>
      </c>
      <c r="U152" s="32">
        <f t="shared" si="61"/>
        <v>88.999199999999988</v>
      </c>
      <c r="V152" s="4" t="str">
        <f t="shared" si="62"/>
        <v>Before 14th 23:59 PT</v>
      </c>
      <c r="W152" s="41">
        <f t="shared" si="63"/>
        <v>135</v>
      </c>
      <c r="X152" s="5" t="str">
        <f t="shared" si="64"/>
        <v>Remove before cliff</v>
      </c>
    </row>
    <row r="153" spans="1:24" x14ac:dyDescent="0.3">
      <c r="A153" s="36" t="s">
        <v>645</v>
      </c>
      <c r="B153" s="16" t="s">
        <v>646</v>
      </c>
      <c r="C153" s="4" t="s">
        <v>184</v>
      </c>
      <c r="D153" s="34">
        <v>1.0999999999999999E-2</v>
      </c>
      <c r="E153" s="41">
        <v>88</v>
      </c>
      <c r="F153" s="41">
        <v>46</v>
      </c>
      <c r="G153" s="41">
        <v>18</v>
      </c>
      <c r="H153" s="41">
        <v>0</v>
      </c>
      <c r="I153" s="41">
        <v>0</v>
      </c>
      <c r="J153" s="31">
        <f>'03_FBA_Nivel1_Transfer'!H153</f>
        <v>39.06</v>
      </c>
      <c r="K153" s="32">
        <f>'03_FBA_Nivel1_Transfer'!I153</f>
        <v>0</v>
      </c>
      <c r="L153" s="32">
        <f t="shared" si="52"/>
        <v>0.19799999999999998</v>
      </c>
      <c r="M153" s="32">
        <f t="shared" si="53"/>
        <v>0</v>
      </c>
      <c r="N153" s="32">
        <f t="shared" si="54"/>
        <v>0</v>
      </c>
      <c r="O153" s="47">
        <f t="shared" si="55"/>
        <v>0.19799999999999998</v>
      </c>
      <c r="P153" s="41">
        <f t="shared" si="56"/>
        <v>18</v>
      </c>
      <c r="Q153" s="32">
        <f t="shared" si="57"/>
        <v>15.12</v>
      </c>
      <c r="R153" s="31">
        <f t="shared" si="58"/>
        <v>76.36363636363636</v>
      </c>
      <c r="S153" s="6" t="str">
        <f t="shared" si="59"/>
        <v>DISCOUNT 25% NOW</v>
      </c>
      <c r="T153" s="32">
        <f t="shared" si="60"/>
        <v>2.3759999999999999</v>
      </c>
      <c r="U153" s="32">
        <f t="shared" si="61"/>
        <v>0</v>
      </c>
      <c r="V153" s="4" t="str">
        <f t="shared" si="62"/>
        <v>Before 14th 23:59 PT</v>
      </c>
      <c r="W153" s="41">
        <f t="shared" si="63"/>
        <v>18</v>
      </c>
      <c r="X153" s="5" t="str">
        <f t="shared" si="64"/>
        <v>Discount to accelerate FIFO</v>
      </c>
    </row>
    <row r="154" spans="1:24" x14ac:dyDescent="0.3">
      <c r="A154" s="36" t="s">
        <v>651</v>
      </c>
      <c r="B154" s="16" t="s">
        <v>646</v>
      </c>
      <c r="C154" s="4" t="s">
        <v>184</v>
      </c>
      <c r="D154" s="34">
        <v>1.0999999999999999E-2</v>
      </c>
      <c r="E154" s="41">
        <v>55</v>
      </c>
      <c r="F154" s="41">
        <v>28</v>
      </c>
      <c r="G154" s="41">
        <v>11</v>
      </c>
      <c r="H154" s="41">
        <v>0</v>
      </c>
      <c r="I154" s="41">
        <v>0</v>
      </c>
      <c r="J154" s="31">
        <f>'03_FBA_Nivel1_Transfer'!H154</f>
        <v>57.39</v>
      </c>
      <c r="K154" s="32">
        <f>'03_FBA_Nivel1_Transfer'!I154</f>
        <v>0</v>
      </c>
      <c r="L154" s="32">
        <f t="shared" si="52"/>
        <v>0.121</v>
      </c>
      <c r="M154" s="32">
        <f t="shared" si="53"/>
        <v>0</v>
      </c>
      <c r="N154" s="32">
        <f t="shared" si="54"/>
        <v>0</v>
      </c>
      <c r="O154" s="47">
        <f t="shared" si="55"/>
        <v>0.121</v>
      </c>
      <c r="P154" s="41">
        <f t="shared" si="56"/>
        <v>11</v>
      </c>
      <c r="Q154" s="32">
        <f t="shared" si="57"/>
        <v>9.24</v>
      </c>
      <c r="R154" s="31">
        <f t="shared" si="58"/>
        <v>76.363636363636374</v>
      </c>
      <c r="S154" s="6" t="str">
        <f t="shared" si="59"/>
        <v>DISCOUNT 25% NOW</v>
      </c>
      <c r="T154" s="32">
        <f t="shared" si="60"/>
        <v>1.452</v>
      </c>
      <c r="U154" s="32">
        <f t="shared" si="61"/>
        <v>0</v>
      </c>
      <c r="V154" s="4" t="str">
        <f t="shared" si="62"/>
        <v>Before 14th 23:59 PT</v>
      </c>
      <c r="W154" s="41">
        <f t="shared" si="63"/>
        <v>11</v>
      </c>
      <c r="X154" s="5" t="str">
        <f t="shared" si="64"/>
        <v>Discount to accelerate FIFO</v>
      </c>
    </row>
    <row r="155" spans="1:24" x14ac:dyDescent="0.3">
      <c r="A155" s="36" t="s">
        <v>654</v>
      </c>
      <c r="B155" s="16" t="s">
        <v>646</v>
      </c>
      <c r="C155" s="4" t="s">
        <v>188</v>
      </c>
      <c r="D155" s="34">
        <v>1.0999999999999999E-2</v>
      </c>
      <c r="E155" s="41">
        <v>26</v>
      </c>
      <c r="F155" s="41">
        <v>16</v>
      </c>
      <c r="G155" s="41">
        <v>10</v>
      </c>
      <c r="H155" s="41">
        <v>0</v>
      </c>
      <c r="I155" s="41">
        <v>0</v>
      </c>
      <c r="J155" s="31">
        <f>'03_FBA_Nivel1_Transfer'!H155</f>
        <v>53.33</v>
      </c>
      <c r="K155" s="32">
        <f>'03_FBA_Nivel1_Transfer'!I155</f>
        <v>0</v>
      </c>
      <c r="L155" s="32">
        <f t="shared" si="52"/>
        <v>0.10999999999999999</v>
      </c>
      <c r="M155" s="32">
        <f t="shared" si="53"/>
        <v>0</v>
      </c>
      <c r="N155" s="32">
        <f t="shared" si="54"/>
        <v>0</v>
      </c>
      <c r="O155" s="47">
        <f t="shared" si="55"/>
        <v>0.10999999999999999</v>
      </c>
      <c r="P155" s="41">
        <f t="shared" si="56"/>
        <v>10</v>
      </c>
      <c r="Q155" s="32">
        <f t="shared" si="57"/>
        <v>8.4</v>
      </c>
      <c r="R155" s="31">
        <f t="shared" si="58"/>
        <v>76.363636363636374</v>
      </c>
      <c r="S155" s="6" t="str">
        <f t="shared" si="59"/>
        <v>DISCOUNT 25% NOW</v>
      </c>
      <c r="T155" s="32">
        <f t="shared" si="60"/>
        <v>1.3199999999999998</v>
      </c>
      <c r="U155" s="32">
        <f t="shared" si="61"/>
        <v>0</v>
      </c>
      <c r="V155" s="4" t="str">
        <f t="shared" si="62"/>
        <v>Before 14th 23:59 PT</v>
      </c>
      <c r="W155" s="41">
        <f t="shared" si="63"/>
        <v>10</v>
      </c>
      <c r="X155" s="5" t="str">
        <f t="shared" si="64"/>
        <v>Discount to accelerate FIFO</v>
      </c>
    </row>
    <row r="156" spans="1:24" x14ac:dyDescent="0.3">
      <c r="A156" s="36" t="s">
        <v>657</v>
      </c>
      <c r="B156" s="16" t="s">
        <v>646</v>
      </c>
      <c r="C156" s="4" t="s">
        <v>188</v>
      </c>
      <c r="D156" s="34">
        <v>1.0999999999999999E-2</v>
      </c>
      <c r="E156" s="41">
        <v>19</v>
      </c>
      <c r="F156" s="41">
        <v>11</v>
      </c>
      <c r="G156" s="41">
        <v>7</v>
      </c>
      <c r="H156" s="41">
        <v>0</v>
      </c>
      <c r="I156" s="41">
        <v>0</v>
      </c>
      <c r="J156" s="31">
        <f>'03_FBA_Nivel1_Transfer'!H156</f>
        <v>71.27</v>
      </c>
      <c r="K156" s="32">
        <f>'03_FBA_Nivel1_Transfer'!I156</f>
        <v>0</v>
      </c>
      <c r="L156" s="32">
        <f t="shared" si="52"/>
        <v>7.6999999999999999E-2</v>
      </c>
      <c r="M156" s="32">
        <f t="shared" si="53"/>
        <v>0</v>
      </c>
      <c r="N156" s="32">
        <f t="shared" si="54"/>
        <v>0</v>
      </c>
      <c r="O156" s="47">
        <f t="shared" si="55"/>
        <v>7.6999999999999999E-2</v>
      </c>
      <c r="P156" s="41">
        <f t="shared" si="56"/>
        <v>7</v>
      </c>
      <c r="Q156" s="32">
        <f t="shared" si="57"/>
        <v>5.88</v>
      </c>
      <c r="R156" s="31">
        <f t="shared" si="58"/>
        <v>76.36363636363636</v>
      </c>
      <c r="S156" s="6" t="str">
        <f t="shared" si="59"/>
        <v>DISCOUNT 25% NOW</v>
      </c>
      <c r="T156" s="32">
        <f t="shared" si="60"/>
        <v>0.92399999999999993</v>
      </c>
      <c r="U156" s="32">
        <f t="shared" si="61"/>
        <v>0</v>
      </c>
      <c r="V156" s="4" t="str">
        <f t="shared" si="62"/>
        <v>Before 14th 23:59 PT</v>
      </c>
      <c r="W156" s="41">
        <f t="shared" si="63"/>
        <v>7</v>
      </c>
      <c r="X156" s="5" t="str">
        <f t="shared" si="64"/>
        <v>Discount to accelerate FIFO</v>
      </c>
    </row>
    <row r="157" spans="1:24" x14ac:dyDescent="0.3">
      <c r="A157" s="36" t="s">
        <v>660</v>
      </c>
      <c r="B157" s="16" t="s">
        <v>646</v>
      </c>
      <c r="C157" s="4" t="s">
        <v>184</v>
      </c>
      <c r="D157" s="34">
        <v>1.0999999999999999E-2</v>
      </c>
      <c r="E157" s="41">
        <v>144</v>
      </c>
      <c r="F157" s="41">
        <v>74</v>
      </c>
      <c r="G157" s="41">
        <v>30</v>
      </c>
      <c r="H157" s="41">
        <v>0</v>
      </c>
      <c r="I157" s="41">
        <v>0</v>
      </c>
      <c r="J157" s="31">
        <f>'03_FBA_Nivel1_Transfer'!H157</f>
        <v>44.5</v>
      </c>
      <c r="K157" s="32">
        <f>'03_FBA_Nivel1_Transfer'!I157</f>
        <v>0</v>
      </c>
      <c r="L157" s="32">
        <f t="shared" si="52"/>
        <v>0.32999999999999996</v>
      </c>
      <c r="M157" s="32">
        <f t="shared" si="53"/>
        <v>0</v>
      </c>
      <c r="N157" s="32">
        <f t="shared" si="54"/>
        <v>0</v>
      </c>
      <c r="O157" s="47">
        <f t="shared" si="55"/>
        <v>0.32999999999999996</v>
      </c>
      <c r="P157" s="41">
        <f t="shared" si="56"/>
        <v>30</v>
      </c>
      <c r="Q157" s="32">
        <f t="shared" si="57"/>
        <v>25.2</v>
      </c>
      <c r="R157" s="31">
        <f t="shared" si="58"/>
        <v>76.363636363636374</v>
      </c>
      <c r="S157" s="6" t="str">
        <f t="shared" si="59"/>
        <v>DISCOUNT 25% NOW</v>
      </c>
      <c r="T157" s="32">
        <f t="shared" si="60"/>
        <v>3.9599999999999995</v>
      </c>
      <c r="U157" s="32">
        <f t="shared" si="61"/>
        <v>0</v>
      </c>
      <c r="V157" s="4" t="str">
        <f t="shared" si="62"/>
        <v>Before 14th 23:59 PT</v>
      </c>
      <c r="W157" s="41">
        <f t="shared" si="63"/>
        <v>30</v>
      </c>
      <c r="X157" s="5" t="str">
        <f t="shared" si="64"/>
        <v>Discount to accelerate FIFO</v>
      </c>
    </row>
    <row r="158" spans="1:24" x14ac:dyDescent="0.3">
      <c r="A158" s="36" t="s">
        <v>663</v>
      </c>
      <c r="B158" s="16" t="s">
        <v>646</v>
      </c>
      <c r="C158" s="4" t="s">
        <v>184</v>
      </c>
      <c r="D158" s="34">
        <v>1.0999999999999999E-2</v>
      </c>
      <c r="E158" s="41">
        <v>92</v>
      </c>
      <c r="F158" s="41">
        <v>47</v>
      </c>
      <c r="G158" s="41">
        <v>19</v>
      </c>
      <c r="H158" s="41">
        <v>0</v>
      </c>
      <c r="I158" s="41">
        <v>0</v>
      </c>
      <c r="J158" s="31">
        <f>'03_FBA_Nivel1_Transfer'!H158</f>
        <v>45.13</v>
      </c>
      <c r="K158" s="32">
        <f>'03_FBA_Nivel1_Transfer'!I158</f>
        <v>0</v>
      </c>
      <c r="L158" s="32">
        <f t="shared" si="52"/>
        <v>0.20899999999999999</v>
      </c>
      <c r="M158" s="32">
        <f t="shared" si="53"/>
        <v>0</v>
      </c>
      <c r="N158" s="32">
        <f t="shared" si="54"/>
        <v>0</v>
      </c>
      <c r="O158" s="47">
        <f t="shared" si="55"/>
        <v>0.20899999999999999</v>
      </c>
      <c r="P158" s="41">
        <f t="shared" si="56"/>
        <v>19</v>
      </c>
      <c r="Q158" s="32">
        <f t="shared" si="57"/>
        <v>15.959999999999999</v>
      </c>
      <c r="R158" s="31">
        <f t="shared" si="58"/>
        <v>76.36363636363636</v>
      </c>
      <c r="S158" s="6" t="str">
        <f t="shared" si="59"/>
        <v>DISCOUNT 25% NOW</v>
      </c>
      <c r="T158" s="32">
        <f t="shared" si="60"/>
        <v>2.508</v>
      </c>
      <c r="U158" s="32">
        <f t="shared" si="61"/>
        <v>0</v>
      </c>
      <c r="V158" s="4" t="str">
        <f t="shared" si="62"/>
        <v>Before 14th 23:59 PT</v>
      </c>
      <c r="W158" s="41">
        <f t="shared" si="63"/>
        <v>19</v>
      </c>
      <c r="X158" s="5" t="str">
        <f t="shared" si="64"/>
        <v>Discount to accelerate FIFO</v>
      </c>
    </row>
    <row r="159" spans="1:24" x14ac:dyDescent="0.3">
      <c r="A159" s="36" t="s">
        <v>666</v>
      </c>
      <c r="B159" s="16" t="s">
        <v>646</v>
      </c>
      <c r="C159" s="4" t="s">
        <v>184</v>
      </c>
      <c r="D159" s="34">
        <v>1.0999999999999999E-2</v>
      </c>
      <c r="E159" s="41">
        <v>32</v>
      </c>
      <c r="F159" s="41">
        <v>16</v>
      </c>
      <c r="G159" s="41">
        <v>7</v>
      </c>
      <c r="H159" s="41">
        <v>0</v>
      </c>
      <c r="I159" s="41">
        <v>0</v>
      </c>
      <c r="J159" s="31">
        <f>'03_FBA_Nivel1_Transfer'!H159</f>
        <v>41.22</v>
      </c>
      <c r="K159" s="32">
        <f>'03_FBA_Nivel1_Transfer'!I159</f>
        <v>0</v>
      </c>
      <c r="L159" s="32">
        <f t="shared" si="52"/>
        <v>7.6999999999999999E-2</v>
      </c>
      <c r="M159" s="32">
        <f t="shared" si="53"/>
        <v>0</v>
      </c>
      <c r="N159" s="32">
        <f t="shared" si="54"/>
        <v>0</v>
      </c>
      <c r="O159" s="47">
        <f t="shared" si="55"/>
        <v>7.6999999999999999E-2</v>
      </c>
      <c r="P159" s="41">
        <f t="shared" si="56"/>
        <v>7</v>
      </c>
      <c r="Q159" s="32">
        <f t="shared" si="57"/>
        <v>5.88</v>
      </c>
      <c r="R159" s="31">
        <f t="shared" si="58"/>
        <v>76.36363636363636</v>
      </c>
      <c r="S159" s="6" t="str">
        <f t="shared" si="59"/>
        <v>DISCOUNT 25% NOW</v>
      </c>
      <c r="T159" s="32">
        <f t="shared" si="60"/>
        <v>0.92399999999999993</v>
      </c>
      <c r="U159" s="32">
        <f t="shared" si="61"/>
        <v>0</v>
      </c>
      <c r="V159" s="4" t="str">
        <f t="shared" si="62"/>
        <v>Before 14th 23:59 PT</v>
      </c>
      <c r="W159" s="41">
        <f t="shared" si="63"/>
        <v>7</v>
      </c>
      <c r="X159" s="5" t="str">
        <f t="shared" si="64"/>
        <v>Discount to accelerate FIFO</v>
      </c>
    </row>
    <row r="160" spans="1:24" x14ac:dyDescent="0.3">
      <c r="A160" s="36" t="s">
        <v>669</v>
      </c>
      <c r="B160" s="16" t="s">
        <v>646</v>
      </c>
      <c r="C160" s="4" t="s">
        <v>179</v>
      </c>
      <c r="D160" s="34">
        <v>1.0999999999999999E-2</v>
      </c>
      <c r="E160" s="41">
        <v>56</v>
      </c>
      <c r="F160" s="41">
        <v>29</v>
      </c>
      <c r="G160" s="41">
        <v>12</v>
      </c>
      <c r="H160" s="41">
        <v>0</v>
      </c>
      <c r="I160" s="41">
        <v>0</v>
      </c>
      <c r="J160" s="31">
        <f>'03_FBA_Nivel1_Transfer'!H160</f>
        <v>45</v>
      </c>
      <c r="K160" s="32">
        <f>'03_FBA_Nivel1_Transfer'!I160</f>
        <v>0</v>
      </c>
      <c r="L160" s="32">
        <f t="shared" si="52"/>
        <v>0.13200000000000001</v>
      </c>
      <c r="M160" s="32">
        <f t="shared" si="53"/>
        <v>0</v>
      </c>
      <c r="N160" s="32">
        <f t="shared" si="54"/>
        <v>0</v>
      </c>
      <c r="O160" s="47">
        <f t="shared" si="55"/>
        <v>0.13200000000000001</v>
      </c>
      <c r="P160" s="41">
        <f t="shared" si="56"/>
        <v>12</v>
      </c>
      <c r="Q160" s="32">
        <f t="shared" si="57"/>
        <v>10.08</v>
      </c>
      <c r="R160" s="31">
        <f t="shared" si="58"/>
        <v>76.36363636363636</v>
      </c>
      <c r="S160" s="6" t="str">
        <f t="shared" si="59"/>
        <v>DISCOUNT 25% NOW</v>
      </c>
      <c r="T160" s="32">
        <f t="shared" si="60"/>
        <v>1.5840000000000001</v>
      </c>
      <c r="U160" s="32">
        <f t="shared" si="61"/>
        <v>0</v>
      </c>
      <c r="V160" s="4" t="str">
        <f t="shared" si="62"/>
        <v>Before 14th 23:59 PT</v>
      </c>
      <c r="W160" s="41">
        <f t="shared" si="63"/>
        <v>12</v>
      </c>
      <c r="X160" s="5" t="str">
        <f t="shared" si="64"/>
        <v>Discount to accelerate FIFO</v>
      </c>
    </row>
    <row r="161" spans="1:24" x14ac:dyDescent="0.3">
      <c r="A161" s="36" t="s">
        <v>672</v>
      </c>
      <c r="B161" s="16" t="s">
        <v>646</v>
      </c>
      <c r="C161" s="4" t="s">
        <v>184</v>
      </c>
      <c r="D161" s="34">
        <v>1.0999999999999999E-2</v>
      </c>
      <c r="E161" s="41">
        <v>67</v>
      </c>
      <c r="F161" s="41">
        <v>35</v>
      </c>
      <c r="G161" s="41">
        <v>14</v>
      </c>
      <c r="H161" s="41">
        <v>0</v>
      </c>
      <c r="I161" s="41">
        <v>0</v>
      </c>
      <c r="J161" s="31">
        <f>'03_FBA_Nivel1_Transfer'!H161</f>
        <v>38.299999999999997</v>
      </c>
      <c r="K161" s="32">
        <f>'03_FBA_Nivel1_Transfer'!I161</f>
        <v>0</v>
      </c>
      <c r="L161" s="32">
        <f t="shared" si="52"/>
        <v>0.154</v>
      </c>
      <c r="M161" s="32">
        <f t="shared" si="53"/>
        <v>0</v>
      </c>
      <c r="N161" s="32">
        <f t="shared" si="54"/>
        <v>0</v>
      </c>
      <c r="O161" s="47">
        <f t="shared" si="55"/>
        <v>0.154</v>
      </c>
      <c r="P161" s="41">
        <f t="shared" si="56"/>
        <v>14</v>
      </c>
      <c r="Q161" s="32">
        <f t="shared" si="57"/>
        <v>11.76</v>
      </c>
      <c r="R161" s="31">
        <f t="shared" si="58"/>
        <v>76.36363636363636</v>
      </c>
      <c r="S161" s="6" t="str">
        <f t="shared" si="59"/>
        <v>DISCOUNT 25% NOW</v>
      </c>
      <c r="T161" s="32">
        <f t="shared" si="60"/>
        <v>1.8479999999999999</v>
      </c>
      <c r="U161" s="32">
        <f t="shared" si="61"/>
        <v>0</v>
      </c>
      <c r="V161" s="4" t="str">
        <f t="shared" si="62"/>
        <v>Before 14th 23:59 PT</v>
      </c>
      <c r="W161" s="41">
        <f t="shared" si="63"/>
        <v>14</v>
      </c>
      <c r="X161" s="5" t="str">
        <f t="shared" si="64"/>
        <v>Discount to accelerate FIFO</v>
      </c>
    </row>
    <row r="162" spans="1:24" x14ac:dyDescent="0.3">
      <c r="A162" s="36" t="s">
        <v>675</v>
      </c>
      <c r="B162" s="16" t="s">
        <v>646</v>
      </c>
      <c r="C162" s="4" t="s">
        <v>184</v>
      </c>
      <c r="D162" s="34">
        <v>1.0999999999999999E-2</v>
      </c>
      <c r="E162" s="41">
        <v>40</v>
      </c>
      <c r="F162" s="41">
        <v>20</v>
      </c>
      <c r="G162" s="41">
        <v>8</v>
      </c>
      <c r="H162" s="41">
        <v>0</v>
      </c>
      <c r="I162" s="41">
        <v>0</v>
      </c>
      <c r="J162" s="31">
        <f>'03_FBA_Nivel1_Transfer'!H162</f>
        <v>48.35</v>
      </c>
      <c r="K162" s="32">
        <f>'03_FBA_Nivel1_Transfer'!I162</f>
        <v>0</v>
      </c>
      <c r="L162" s="32">
        <f t="shared" si="52"/>
        <v>8.7999999999999995E-2</v>
      </c>
      <c r="M162" s="32">
        <f t="shared" si="53"/>
        <v>0</v>
      </c>
      <c r="N162" s="32">
        <f t="shared" si="54"/>
        <v>0</v>
      </c>
      <c r="O162" s="47">
        <f t="shared" si="55"/>
        <v>8.7999999999999995E-2</v>
      </c>
      <c r="P162" s="41">
        <f t="shared" si="56"/>
        <v>8</v>
      </c>
      <c r="Q162" s="32">
        <f t="shared" si="57"/>
        <v>6.72</v>
      </c>
      <c r="R162" s="31">
        <f t="shared" si="58"/>
        <v>76.36363636363636</v>
      </c>
      <c r="S162" s="6" t="str">
        <f t="shared" si="59"/>
        <v>DISCOUNT 25% NOW</v>
      </c>
      <c r="T162" s="32">
        <f t="shared" si="60"/>
        <v>1.056</v>
      </c>
      <c r="U162" s="32">
        <f t="shared" si="61"/>
        <v>0</v>
      </c>
      <c r="V162" s="4" t="str">
        <f t="shared" si="62"/>
        <v>Before 14th 23:59 PT</v>
      </c>
      <c r="W162" s="41">
        <f t="shared" si="63"/>
        <v>8</v>
      </c>
      <c r="X162" s="5" t="str">
        <f t="shared" si="64"/>
        <v>Discount to accelerate FIFO</v>
      </c>
    </row>
    <row r="163" spans="1:24" x14ac:dyDescent="0.3">
      <c r="A163" s="36" t="s">
        <v>678</v>
      </c>
      <c r="B163" s="16" t="s">
        <v>646</v>
      </c>
      <c r="C163" s="4" t="s">
        <v>179</v>
      </c>
      <c r="D163" s="34">
        <v>1.0999999999999999E-2</v>
      </c>
      <c r="E163" s="41">
        <v>80</v>
      </c>
      <c r="F163" s="41">
        <v>41</v>
      </c>
      <c r="G163" s="41">
        <v>16</v>
      </c>
      <c r="H163" s="41">
        <v>0</v>
      </c>
      <c r="I163" s="41">
        <v>0</v>
      </c>
      <c r="J163" s="31">
        <f>'03_FBA_Nivel1_Transfer'!H163</f>
        <v>62.86</v>
      </c>
      <c r="K163" s="32">
        <f>'03_FBA_Nivel1_Transfer'!I163</f>
        <v>0</v>
      </c>
      <c r="L163" s="32">
        <f t="shared" si="52"/>
        <v>0.17599999999999999</v>
      </c>
      <c r="M163" s="32">
        <f t="shared" si="53"/>
        <v>0</v>
      </c>
      <c r="N163" s="32">
        <f t="shared" si="54"/>
        <v>0</v>
      </c>
      <c r="O163" s="47">
        <f t="shared" si="55"/>
        <v>0.17599999999999999</v>
      </c>
      <c r="P163" s="41">
        <f t="shared" si="56"/>
        <v>16</v>
      </c>
      <c r="Q163" s="32">
        <f t="shared" si="57"/>
        <v>13.44</v>
      </c>
      <c r="R163" s="31">
        <f t="shared" si="58"/>
        <v>76.36363636363636</v>
      </c>
      <c r="S163" s="6" t="str">
        <f t="shared" si="59"/>
        <v>DISCOUNT 25% NOW</v>
      </c>
      <c r="T163" s="32">
        <f t="shared" si="60"/>
        <v>2.1120000000000001</v>
      </c>
      <c r="U163" s="32">
        <f t="shared" si="61"/>
        <v>0</v>
      </c>
      <c r="V163" s="4" t="str">
        <f t="shared" si="62"/>
        <v>Before 14th 23:59 PT</v>
      </c>
      <c r="W163" s="41">
        <f t="shared" si="63"/>
        <v>16</v>
      </c>
      <c r="X163" s="5" t="str">
        <f t="shared" si="64"/>
        <v>Discount to accelerate FIFO</v>
      </c>
    </row>
    <row r="164" spans="1:24" x14ac:dyDescent="0.3">
      <c r="A164" s="36" t="s">
        <v>681</v>
      </c>
      <c r="B164" s="16" t="s">
        <v>646</v>
      </c>
      <c r="C164" s="4" t="s">
        <v>188</v>
      </c>
      <c r="D164" s="34">
        <v>1.0999999999999999E-2</v>
      </c>
      <c r="E164" s="41">
        <v>31</v>
      </c>
      <c r="F164" s="41">
        <v>19</v>
      </c>
      <c r="G164" s="41">
        <v>12</v>
      </c>
      <c r="H164" s="41">
        <v>0</v>
      </c>
      <c r="I164" s="41">
        <v>0</v>
      </c>
      <c r="J164" s="31">
        <f>'03_FBA_Nivel1_Transfer'!H164</f>
        <v>58.14</v>
      </c>
      <c r="K164" s="32">
        <f>'03_FBA_Nivel1_Transfer'!I164</f>
        <v>0</v>
      </c>
      <c r="L164" s="32">
        <f t="shared" si="52"/>
        <v>0.13200000000000001</v>
      </c>
      <c r="M164" s="32">
        <f t="shared" si="53"/>
        <v>0</v>
      </c>
      <c r="N164" s="32">
        <f t="shared" si="54"/>
        <v>0</v>
      </c>
      <c r="O164" s="47">
        <f t="shared" si="55"/>
        <v>0.13200000000000001</v>
      </c>
      <c r="P164" s="41">
        <f t="shared" si="56"/>
        <v>12</v>
      </c>
      <c r="Q164" s="32">
        <f t="shared" si="57"/>
        <v>10.08</v>
      </c>
      <c r="R164" s="31">
        <f t="shared" si="58"/>
        <v>76.36363636363636</v>
      </c>
      <c r="S164" s="6" t="str">
        <f t="shared" si="59"/>
        <v>DISCOUNT 25% NOW</v>
      </c>
      <c r="T164" s="32">
        <f t="shared" si="60"/>
        <v>1.5840000000000001</v>
      </c>
      <c r="U164" s="32">
        <f t="shared" si="61"/>
        <v>0</v>
      </c>
      <c r="V164" s="4" t="str">
        <f t="shared" si="62"/>
        <v>Before 14th 23:59 PT</v>
      </c>
      <c r="W164" s="41">
        <f t="shared" si="63"/>
        <v>12</v>
      </c>
      <c r="X164" s="5" t="str">
        <f t="shared" si="64"/>
        <v>Discount to accelerate FIFO</v>
      </c>
    </row>
  </sheetData>
  <mergeCells count="2">
    <mergeCell ref="A2:X2"/>
    <mergeCell ref="A1:X1"/>
  </mergeCells>
  <conditionalFormatting sqref="G5:I164">
    <cfRule type="expression" dxfId="2" priority="1">
      <formula>SUM($G5:$I5)&gt;0</formula>
    </cfRule>
  </conditionalFormatting>
  <conditionalFormatting sqref="S5:S164">
    <cfRule type="expression" dxfId="1" priority="2">
      <formula>$S5="EXECUTE REMOVAL"</formula>
    </cfRule>
    <cfRule type="expression" dxfId="0" priority="3">
      <formula>$S5="DISCOUNT 25% NOW"</formula>
    </cfRule>
  </conditionalFormatting>
  <printOptions horizontalCentered="1"/>
  <pageMargins left="0.75" right="0.75" top="1" bottom="1" header="0.5" footer="0.5"/>
  <pageSetup fitToHeight="0" orientation="landscape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6</vt:i4>
      </vt:variant>
      <vt:variant>
        <vt:lpstr>Rangos con nombre</vt:lpstr>
      </vt:variant>
      <vt:variant>
        <vt:i4>21</vt:i4>
      </vt:variant>
    </vt:vector>
  </HeadingPairs>
  <TitlesOfParts>
    <vt:vector size="27" baseType="lpstr">
      <vt:lpstr>00_Exec_Control_Tower</vt:lpstr>
      <vt:lpstr>01_Catalog_&amp;_Parameters</vt:lpstr>
      <vt:lpstr>02_Demand_Unconstraining</vt:lpstr>
      <vt:lpstr>03_FBA_Nivel1_Transfer</vt:lpstr>
      <vt:lpstr>04_Factory_Nivel2_PO_&amp;_CBM</vt:lpstr>
      <vt:lpstr>05_Fee_Risk_Audit</vt:lpstr>
      <vt:lpstr>Age_Cap</vt:lpstr>
      <vt:lpstr>Aggregate_MOQ</vt:lpstr>
      <vt:lpstr>AIS_Payback</vt:lpstr>
      <vt:lpstr>CBM_20GP</vt:lpstr>
      <vt:lpstr>CBM_40HC</vt:lpstr>
      <vt:lpstr>DOS_Cap</vt:lpstr>
      <vt:lpstr>Fee_Min_Weekly</vt:lpstr>
      <vt:lpstr>Fee_Threshold</vt:lpstr>
      <vt:lpstr>Gamma_Cannib</vt:lpstr>
      <vt:lpstr>Hero_Weekly</vt:lpstr>
      <vt:lpstr>Kappa_Cred</vt:lpstr>
      <vt:lpstr>L1_Mean</vt:lpstr>
      <vt:lpstr>L1_Std</vt:lpstr>
      <vt:lpstr>L2_Mean</vt:lpstr>
      <vt:lpstr>L2_Std</vt:lpstr>
      <vt:lpstr>LCL_Breakeven</vt:lpstr>
      <vt:lpstr>Removal_Fee</vt:lpstr>
      <vt:lpstr>Review_Days</vt:lpstr>
      <vt:lpstr>Shield_Days</vt:lpstr>
      <vt:lpstr>Snapshot_Date</vt:lpstr>
      <vt:lpstr>TopUp_Reserve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Omnichannel Multi-Echelon Inventory Control Tower</dc:title>
  <dc:subject>Weekly S&amp;OP replenishment, MOQ and container plan</dc:subject>
  <dc:creator>Supply Chain Analytics</dc:creator>
  <cp:keywords>inventory; multi-echelon; unconstraining; FBA; MOQ; container</cp:keywords>
  <dc:description>Deterministic seed 42 · live Excel 365 formulas · SOP-OPS-004 sign-off artifact</dc:description>
  <cp:lastModifiedBy>Pérez Gómez Jaime</cp:lastModifiedBy>
  <dcterms:created xsi:type="dcterms:W3CDTF">2026-10-26T09:51:06Z</dcterms:created>
  <dcterms:modified xsi:type="dcterms:W3CDTF">2026-10-26T09:54:51Z</dcterms:modified>
</cp:coreProperties>
</file>